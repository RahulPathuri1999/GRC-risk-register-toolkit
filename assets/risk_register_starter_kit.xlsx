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Legend &amp; Instructions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<sst xmlns="http://schemas.openxmlformats.org/spreadsheetml/2006/main" count="285" uniqueCount="200">
  <si>
    <t xml:space="preserve">Asset ID</t>
  </si>
  <si>
    <t xml:space="preserve">Asset Name</t>
  </si>
  <si>
    <t xml:space="preserve">Asset Type</t>
  </si>
  <si>
    <t xml:space="preserve">Confidentiality</t>
  </si>
  <si>
    <t xml:space="preserve">Integrity</t>
  </si>
  <si>
    <t xml:space="preserve">Availability</t>
  </si>
  <si>
    <t xml:space="preserve">Risk ID</t>
  </si>
  <si>
    <t xml:space="preserve">Risk Description</t>
  </si>
  <si>
    <t xml:space="preserve">Category</t>
  </si>
  <si>
    <t xml:space="preserve">Likelihood (1-5)</t>
  </si>
  <si>
    <t xml:space="preserve">Impact (1-5)</t>
  </si>
  <si>
    <t xml:space="preserve">Risk Score</t>
  </si>
  <si>
    <t xml:space="preserve">Risk Level</t>
  </si>
  <si>
    <t xml:space="preserve">Existing Controls</t>
  </si>
  <si>
    <t xml:space="preserve">Treatment Plan</t>
  </si>
  <si>
    <t xml:space="preserve">Residual Likelihood (1-5)</t>
  </si>
  <si>
    <t xml:space="preserve">Residual Impact (1-5)</t>
  </si>
  <si>
    <t xml:space="preserve">Residual Risk Score</t>
  </si>
  <si>
    <t xml:space="preserve">Residual Risk Level</t>
  </si>
  <si>
    <t xml:space="preserve">Owner</t>
  </si>
  <si>
    <t xml:space="preserve">Status</t>
  </si>
  <si>
    <t xml:space="preserve">Review Date</t>
  </si>
  <si>
    <t xml:space="preserve">AST-001</t>
  </si>
  <si>
    <t xml:space="preserve">Employee Laptops</t>
  </si>
  <si>
    <t xml:space="preserve">Endpoint</t>
  </si>
  <si>
    <t xml:space="preserve">High</t>
  </si>
  <si>
    <t xml:space="preserve">Medium</t>
  </si>
  <si>
    <t xml:space="preserve">R-001</t>
  </si>
  <si>
    <t xml:space="preserve">Phishing email leads to compromised employee credentials</t>
  </si>
  <si>
    <t xml:space="preserve">Cybersecurity</t>
  </si>
  <si>
    <t xml:space="preserve">Email filtering, security awareness training</t>
  </si>
  <si>
    <t xml:space="preserve">Enforce MFA org-wide; run quarterly phishing simulations</t>
  </si>
  <si>
    <t xml:space="preserve">IT Security</t>
  </si>
  <si>
    <t xml:space="preserve">In Progress</t>
  </si>
  <si>
    <t xml:space="preserve">2026-10-01</t>
  </si>
  <si>
    <t xml:space="preserve">AST-002</t>
  </si>
  <si>
    <t xml:space="preserve">Customer Database</t>
  </si>
  <si>
    <t xml:space="preserve">Database</t>
  </si>
  <si>
    <t xml:space="preserve">R-002</t>
  </si>
  <si>
    <t xml:space="preserve">SQL injection vulnerability in customer-facing web application</t>
  </si>
  <si>
    <t xml:space="preserve">Web Application Firewall (partial coverage)</t>
  </si>
  <si>
    <t xml:space="preserve">Implement parameterized queries; expand WAF coverage; run penetration test</t>
  </si>
  <si>
    <t xml:space="preserve">Application Security</t>
  </si>
  <si>
    <t xml:space="preserve">Open</t>
  </si>
  <si>
    <t xml:space="preserve">2026-09-15</t>
  </si>
  <si>
    <t xml:space="preserve">AST-003</t>
  </si>
  <si>
    <t xml:space="preserve">Company File Server</t>
  </si>
  <si>
    <t xml:space="preserve">Server</t>
  </si>
  <si>
    <t xml:space="preserve">R-003</t>
  </si>
  <si>
    <t xml:space="preserve">Data at rest is not encrypted</t>
  </si>
  <si>
    <t xml:space="preserve">None currently — data stored in plaintext on disk</t>
  </si>
  <si>
    <t xml:space="preserve">Implement AES-256 encryption for all data at rest</t>
  </si>
  <si>
    <t xml:space="preserve">2026-09-30</t>
  </si>
  <si>
    <t xml:space="preserve">AST-004</t>
  </si>
  <si>
    <t xml:space="preserve">Cloud Storage Bucket</t>
  </si>
  <si>
    <t xml:space="preserve">Cloud Storage</t>
  </si>
  <si>
    <t xml:space="preserve">R-004</t>
  </si>
  <si>
    <t xml:space="preserve">Cloud storage bucket misconfigured with public access</t>
  </si>
  <si>
    <t xml:space="preserve">Manual quarterly configuration review</t>
  </si>
  <si>
    <t xml:space="preserve">Deploy automated Cloud Security Posture Management (CSPM) tool</t>
  </si>
  <si>
    <t xml:space="preserve">Cloud Engineering</t>
  </si>
  <si>
    <t xml:space="preserve">2026-08-15</t>
  </si>
  <si>
    <t xml:space="preserve">AST-005</t>
  </si>
  <si>
    <t xml:space="preserve">HR / Payroll System</t>
  </si>
  <si>
    <t xml:space="preserve">Application</t>
  </si>
  <si>
    <t xml:space="preserve">R-005</t>
  </si>
  <si>
    <t xml:space="preserve">Insider threat: unauthorized access to payroll and PII data</t>
  </si>
  <si>
    <t xml:space="preserve">Compliance / Legal</t>
  </si>
  <si>
    <t xml:space="preserve">Role-based access control (RBAC)</t>
  </si>
  <si>
    <t xml:space="preserve">Implement quarterly access reviews and audit logging</t>
  </si>
  <si>
    <t xml:space="preserve">HR / IT</t>
  </si>
  <si>
    <t xml:space="preserve">Mitigated</t>
  </si>
  <si>
    <t xml:space="preserve">2026-12-01</t>
  </si>
  <si>
    <t xml:space="preserve">AST-006</t>
  </si>
  <si>
    <t xml:space="preserve">Corporate Network</t>
  </si>
  <si>
    <t xml:space="preserve">Network</t>
  </si>
  <si>
    <t xml:space="preserve">R-006</t>
  </si>
  <si>
    <t xml:space="preserve">DDoS attack causes public service outage</t>
  </si>
  <si>
    <t xml:space="preserve">Operational</t>
  </si>
  <si>
    <t xml:space="preserve">Basic perimeter firewall</t>
  </si>
  <si>
    <t xml:space="preserve">Subscribe to managed DDoS protection service</t>
  </si>
  <si>
    <t xml:space="preserve">Network Operations</t>
  </si>
  <si>
    <t xml:space="preserve">2026-10-30</t>
  </si>
  <si>
    <t xml:space="preserve">AST-007</t>
  </si>
  <si>
    <t xml:space="preserve">Privileged User Accounts</t>
  </si>
  <si>
    <t xml:space="preserve">Identity</t>
  </si>
  <si>
    <t xml:space="preserve">R-007</t>
  </si>
  <si>
    <t xml:space="preserve">Multi-factor authentication not enforced on privileged/admin accounts</t>
  </si>
  <si>
    <t xml:space="preserve">Password complexity policy only</t>
  </si>
  <si>
    <t xml:space="preserve">Enforce MFA for all privileged and administrative accounts</t>
  </si>
  <si>
    <t xml:space="preserve">2026-09-01</t>
  </si>
  <si>
    <t xml:space="preserve">AST-008</t>
  </si>
  <si>
    <t xml:space="preserve">Vendor Management Platform</t>
  </si>
  <si>
    <t xml:space="preserve">Third-Party System</t>
  </si>
  <si>
    <t xml:space="preserve">Low</t>
  </si>
  <si>
    <t xml:space="preserve">R-008</t>
  </si>
  <si>
    <t xml:space="preserve">Third-party vendor processes customer data without a signed DPA</t>
  </si>
  <si>
    <t xml:space="preserve">Third-Party / Vendor Risk</t>
  </si>
  <si>
    <t xml:space="preserve">Informal vendor review at onboarding</t>
  </si>
  <si>
    <t xml:space="preserve">Require signed Data Processing Agreement before data access is granted</t>
  </si>
  <si>
    <t xml:space="preserve">Procurement / Legal</t>
  </si>
  <si>
    <t xml:space="preserve">AST-009</t>
  </si>
  <si>
    <t xml:space="preserve">Backup Infrastructure</t>
  </si>
  <si>
    <t xml:space="preserve">Infrastructure</t>
  </si>
  <si>
    <t xml:space="preserve">R-009</t>
  </si>
  <si>
    <t xml:space="preserve">Backup and disaster recovery plan exists but has never been tested</t>
  </si>
  <si>
    <t xml:space="preserve">Business Continuity / Disaster Recovery</t>
  </si>
  <si>
    <t xml:space="preserve">Automated nightly backups (untested restore)</t>
  </si>
  <si>
    <t xml:space="preserve">Run quarterly DR test and document a formal recovery runbook</t>
  </si>
  <si>
    <t xml:space="preserve">IT Operations</t>
  </si>
  <si>
    <t xml:space="preserve">2026-11-01</t>
  </si>
  <si>
    <t xml:space="preserve">AST-010</t>
  </si>
  <si>
    <t xml:space="preserve">Company-Issued Laptops</t>
  </si>
  <si>
    <t xml:space="preserve">R-010</t>
  </si>
  <si>
    <t xml:space="preserve">Lost or stolen laptop with unencrypted local storage</t>
  </si>
  <si>
    <t xml:space="preserve">Device encryption policy exists but is not enforced</t>
  </si>
  <si>
    <t xml:space="preserve">Enforce full-disk encryption via MDM on all endpoints</t>
  </si>
  <si>
    <t xml:space="preserve">2026-10-15</t>
  </si>
  <si>
    <t xml:space="preserve">AST-011</t>
  </si>
  <si>
    <t xml:space="preserve">SaaS Applications</t>
  </si>
  <si>
    <t xml:space="preserve">R-011</t>
  </si>
  <si>
    <t xml:space="preserve">Shadow IT: employees using unapproved SaaS tools with company data</t>
  </si>
  <si>
    <t xml:space="preserve">None</t>
  </si>
  <si>
    <t xml:space="preserve">Deploy SaaS discovery tool; enforce acceptable use policy</t>
  </si>
  <si>
    <t xml:space="preserve">IT Governance</t>
  </si>
  <si>
    <t xml:space="preserve">2026-09-20</t>
  </si>
  <si>
    <t xml:space="preserve">AST-012</t>
  </si>
  <si>
    <t xml:space="preserve">Server Room</t>
  </si>
  <si>
    <t xml:space="preserve">Physical Facility</t>
  </si>
  <si>
    <t xml:space="preserve">R-012</t>
  </si>
  <si>
    <t xml:space="preserve">Unauthorized physical access to server room</t>
  </si>
  <si>
    <t xml:space="preserve">Physical</t>
  </si>
  <si>
    <t xml:space="preserve">Keycard access control</t>
  </si>
  <si>
    <t xml:space="preserve">Add biometric access control and maintain a visitor log</t>
  </si>
  <si>
    <t xml:space="preserve">Facilities</t>
  </si>
  <si>
    <t xml:space="preserve">2027-01-01</t>
  </si>
  <si>
    <t xml:space="preserve">AST-013</t>
  </si>
  <si>
    <t xml:space="preserve">Corporate Email System</t>
  </si>
  <si>
    <t xml:space="preserve">Communication</t>
  </si>
  <si>
    <t xml:space="preserve">R-013</t>
  </si>
  <si>
    <t xml:space="preserve">Business email compromise / executive impersonation fraud</t>
  </si>
  <si>
    <t xml:space="preserve">Basic spam filtering</t>
  </si>
  <si>
    <t xml:space="preserve">Enforce DMARC/DKIM/SPF; run executive-targeted phishing training</t>
  </si>
  <si>
    <t xml:space="preserve">2026-09-10</t>
  </si>
  <si>
    <t xml:space="preserve">AST-014</t>
  </si>
  <si>
    <t xml:space="preserve">Financial Reporting System (ERP)</t>
  </si>
  <si>
    <t xml:space="preserve">R-014</t>
  </si>
  <si>
    <t xml:space="preserve">Segregation of duties not enforced for financial transaction approval</t>
  </si>
  <si>
    <t xml:space="preserve">Financial</t>
  </si>
  <si>
    <t xml:space="preserve">Manual monthly review by finance manager</t>
  </si>
  <si>
    <t xml:space="preserve">Implement segregation-of-duties controls within the ERP system</t>
  </si>
  <si>
    <t xml:space="preserve">Finance / Internal Audit</t>
  </si>
  <si>
    <t xml:space="preserve">2026-11-15</t>
  </si>
  <si>
    <t xml:space="preserve">AST-015</t>
  </si>
  <si>
    <t xml:space="preserve">Employee Offboarding Process</t>
  </si>
  <si>
    <t xml:space="preserve">Process</t>
  </si>
  <si>
    <t xml:space="preserve">R-015</t>
  </si>
  <si>
    <t xml:space="preserve">Terminated employees retain access to systems after departure</t>
  </si>
  <si>
    <t xml:space="preserve">Manual offboarding checklist</t>
  </si>
  <si>
    <t xml:space="preserve">Automate deprovisioning by integrating IAM with the HRIS</t>
  </si>
  <si>
    <t xml:space="preserve">IT / HR</t>
  </si>
  <si>
    <t xml:space="preserve">2026-10-05</t>
  </si>
  <si>
    <t xml:space="preserve">GRC Risk Register — Starter Kit</t>
  </si>
  <si>
    <t xml:space="preserve">This register comes PRE-FILLED with 15 common organizational risks, already scored, so</t>
  </si>
  <si>
    <t xml:space="preserve">you can see exactly how a finished risk register looks and reads before adding your own.</t>
  </si>
  <si>
    <t xml:space="preserve">COLUMNS EXPLAINED</t>
  </si>
  <si>
    <t xml:space="preserve">Asset ID / Asset Name / Asset Type — the system, data, or process the risk applies to.</t>
  </si>
  <si>
    <t xml:space="preserve">Confidentiality / Integrity / Availability (CIA) — how sensitive this asset is on each of the</t>
  </si>
  <si>
    <t xml:space="preserve">  three classic information security dimensions (High/Medium/Low). This tells you WHY a risk</t>
  </si>
  <si>
    <t xml:space="preserve">  to this asset matters — e.g. a High-Confidentiality asset means a breach is especially costly.</t>
  </si>
  <si>
    <t xml:space="preserve">Risk ID / Risk Description / Category — what could go wrong, and what kind of risk it is.</t>
  </si>
  <si>
    <t xml:space="preserve">Likelihood (1-5) / Impact (1-5) — your judgment of how likely this is, and how bad it would be.</t>
  </si>
  <si>
    <t xml:space="preserve">Risk Score / Risk Level — CALCULATED AUTOMATICALLY (Likelihood x Impact). Do not type into these.</t>
  </si>
  <si>
    <t xml:space="preserve">  Bands: 1-3 Low, 4-8 Medium, 9-14 High, 15-25 Critical.</t>
  </si>
  <si>
    <t xml:space="preserve">Existing Controls — what's already in place today to reduce this risk.</t>
  </si>
  <si>
    <t xml:space="preserve">Treatment Plan — the additional action that will further reduce the risk.</t>
  </si>
  <si>
    <t xml:space="preserve">Residual Likelihood / Residual Impact — your estimate of Likelihood/Impact AFTER the Treatment</t>
  </si>
  <si>
    <t xml:space="preserve">  Plan is fully implemented.</t>
  </si>
  <si>
    <t xml:space="preserve">Residual Risk Score / Residual Risk Level — CALCULATED AUTOMATICALLY, same formula as above,</t>
  </si>
  <si>
    <t xml:space="preserve">  applied to the residual numbers. Compare this to Risk Level to show a control's real effect.</t>
  </si>
  <si>
    <t xml:space="preserve">Owner / Status / Review Date — who is accountable, where it stands, and when to revisit it.</t>
  </si>
  <si>
    <t xml:space="preserve">HOW TO USE THIS AS A FRESHER</t>
  </si>
  <si>
    <t xml:space="preserve">1. Read through the 15 pre-filled example risks first — they cover the most common risk types</t>
  </si>
  <si>
    <t xml:space="preserve">   (phishing, unencrypted data, weak access control, vendor risk, physical security, etc.)</t>
  </si>
  <si>
    <t xml:space="preserve">   and show realistic Likelihood/Impact judgments and Treatment Plans.</t>
  </si>
  <si>
    <t xml:space="preserve">2. When you join a real organization, replace them (or add to them) with risks specific to</t>
  </si>
  <si>
    <t xml:space="preserve">   that company's actual assets and systems — the structure and formulas stay the same.</t>
  </si>
  <si>
    <t xml:space="preserve">3. Status uses a dropdown: Open / In Progress / Mitigated / Accepted / Closed.</t>
  </si>
  <si>
    <t xml:space="preserve">4. CIA and Likelihood/Impact fields are dropdowns too — just click and select.</t>
  </si>
  <si>
    <t xml:space="preserve">5. Review Date turns RED automatically if it's overdue and Status isn't Closed/Mitigated.</t>
  </si>
  <si>
    <t xml:space="preserve">6. See the Dashboard tab for a live summary of all risks by level, status, and CIA exposure.</t>
  </si>
  <si>
    <t xml:space="preserve">Risk Register Dashboard</t>
  </si>
  <si>
    <t xml:space="preserve">By Risk Level</t>
  </si>
  <si>
    <t xml:space="preserve">Count</t>
  </si>
  <si>
    <t xml:space="preserve">Critical</t>
  </si>
  <si>
    <t xml:space="preserve">By Status</t>
  </si>
  <si>
    <t xml:space="preserve">Accepted</t>
  </si>
  <si>
    <t xml:space="preserve">Closed</t>
  </si>
  <si>
    <t xml:space="preserve">By Confidentiality Rating</t>
  </si>
  <si>
    <t xml:space="preserve">Overdue Reviews (past due, not Closed/Mitigated)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</si>
</sst>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9999"/>
        </patternFill>
      </fill>
    </dxf>
    <dxf>
      <fill>
        <patternFill>
          <bgColor rgb="FFFFCC99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  <dxf>
      <fill>
        <patternFill>
          <bgColor rgb="FFFF66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666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Risks by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Dashboard!$B$5:$B$8</c:f>
              <c:numCache>
                <c:formatCode>General</c:formatCode>
                <c:ptCount val="4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79652307"/>
        <c:axId val="27306247"/>
      </c:barChart>
      <c:catAx>
        <c:axId val="796523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Risk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06247"/>
        <c:crosses val="autoZero"/>
        <c:auto val="1"/>
        <c:lblAlgn val="ctr"/>
        <c:lblOffset val="100"/>
        <c:noMultiLvlLbl val="0"/>
      </c:catAx>
      <c:valAx>
        <c:axId val="273062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6523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130680</xdr:rowOff>
    </xdr:from>
    <xdr:to>
      <xdr:col>11</xdr:col>
      <xdr:colOff>147600</xdr:colOff>
      <xdr:row>16</xdr:row>
      <xdr:rowOff>153000</xdr:rowOff>
    </xdr:to>
    <xdr:graphicFrame>
      <xdr:nvGraphicFramePr>
        <xdr:cNvPr id="0" name="Chart 1"/>
        <xdr:cNvGraphicFramePr/>
      </xdr:nvGraphicFramePr>
      <xdr:xfrm>
        <a:off x="427680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4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11"/>
    <col collapsed="false" customWidth="true" hidden="false" outlineLevel="0" max="14" min="14" style="0" width="26"/>
    <col collapsed="false" customWidth="true" hidden="false" outlineLevel="0" max="15" min="15" style="0" width="30"/>
    <col collapsed="false" customWidth="true" hidden="false" outlineLevel="0" max="17" min="16" style="0" width="12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18"/>
    <col collapsed="false" customWidth="true" hidden="false" outlineLevel="0" max="21" min="21" style="0" width="14"/>
    <col collapsed="false" customWidth="true" hidden="false" outlineLevel="0" max="22" min="22" style="0" width="13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26.85" hidden="false" customHeight="false" outlineLevel="0" collapsed="false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26</v>
      </c>
      <c r="G2" s="2" t="s">
        <v>27</v>
      </c>
      <c r="H2" s="2" t="s">
        <v>28</v>
      </c>
      <c r="I2" s="2" t="s">
        <v>29</v>
      </c>
      <c r="J2" s="2" t="n">
        <v>4</v>
      </c>
      <c r="K2" s="2" t="n">
        <v>4</v>
      </c>
      <c r="L2" s="2" t="n">
        <f aca="false">J2*K2</f>
        <v>16</v>
      </c>
      <c r="M2" s="2" t="str">
        <f aca="false">IF(L2&gt;=15,"Critical",IF(L2&gt;=9,"High",IF(L2&gt;=4,"Medium","Low")))</f>
        <v>Critical</v>
      </c>
      <c r="N2" s="2" t="s">
        <v>30</v>
      </c>
      <c r="O2" s="2" t="s">
        <v>31</v>
      </c>
      <c r="P2" s="2" t="n">
        <v>2</v>
      </c>
      <c r="Q2" s="2" t="n">
        <v>3</v>
      </c>
      <c r="R2" s="2" t="n">
        <f aca="false">P2*Q2</f>
        <v>6</v>
      </c>
      <c r="S2" s="2" t="str">
        <f aca="false">IF(R2&gt;=15,"Critical",IF(R2&gt;=9,"High",IF(R2&gt;=4,"Medium","Low")))</f>
        <v>Medium</v>
      </c>
      <c r="T2" s="2" t="s">
        <v>32</v>
      </c>
      <c r="U2" s="2" t="s">
        <v>33</v>
      </c>
      <c r="V2" s="2" t="s">
        <v>34</v>
      </c>
    </row>
    <row r="3" customFormat="false" ht="39.55" hidden="false" customHeight="false" outlineLevel="0" collapsed="false">
      <c r="A3" s="2" t="s">
        <v>35</v>
      </c>
      <c r="B3" s="2" t="s">
        <v>36</v>
      </c>
      <c r="C3" s="2" t="s">
        <v>37</v>
      </c>
      <c r="D3" s="2" t="s">
        <v>25</v>
      </c>
      <c r="E3" s="2" t="s">
        <v>25</v>
      </c>
      <c r="F3" s="2" t="s">
        <v>25</v>
      </c>
      <c r="G3" s="2" t="s">
        <v>38</v>
      </c>
      <c r="H3" s="2" t="s">
        <v>39</v>
      </c>
      <c r="I3" s="2" t="s">
        <v>29</v>
      </c>
      <c r="J3" s="2" t="n">
        <v>3</v>
      </c>
      <c r="K3" s="2" t="n">
        <v>5</v>
      </c>
      <c r="L3" s="2" t="n">
        <f aca="false">J3*K3</f>
        <v>15</v>
      </c>
      <c r="M3" s="2" t="str">
        <f aca="false">IF(L3&gt;=15,"Critical",IF(L3&gt;=9,"High",IF(L3&gt;=4,"Medium","Low")))</f>
        <v>Critical</v>
      </c>
      <c r="N3" s="2" t="s">
        <v>40</v>
      </c>
      <c r="O3" s="2" t="s">
        <v>41</v>
      </c>
      <c r="P3" s="2" t="n">
        <v>1</v>
      </c>
      <c r="Q3" s="2" t="n">
        <v>5</v>
      </c>
      <c r="R3" s="2" t="n">
        <f aca="false">P3*Q3</f>
        <v>5</v>
      </c>
      <c r="S3" s="2" t="str">
        <f aca="false">IF(R3&gt;=15,"Critical",IF(R3&gt;=9,"High",IF(R3&gt;=4,"Medium","Low")))</f>
        <v>Medium</v>
      </c>
      <c r="T3" s="2" t="s">
        <v>42</v>
      </c>
      <c r="U3" s="2" t="s">
        <v>43</v>
      </c>
      <c r="V3" s="2" t="s">
        <v>44</v>
      </c>
    </row>
    <row r="4" customFormat="false" ht="26.85" hidden="false" customHeight="false" outlineLevel="0" collapsed="false">
      <c r="A4" s="2" t="s">
        <v>45</v>
      </c>
      <c r="B4" s="2" t="s">
        <v>46</v>
      </c>
      <c r="C4" s="2" t="s">
        <v>47</v>
      </c>
      <c r="D4" s="2" t="s">
        <v>25</v>
      </c>
      <c r="E4" s="2" t="s">
        <v>26</v>
      </c>
      <c r="F4" s="2" t="s">
        <v>25</v>
      </c>
      <c r="G4" s="2" t="s">
        <v>48</v>
      </c>
      <c r="H4" s="2" t="s">
        <v>49</v>
      </c>
      <c r="I4" s="2" t="s">
        <v>29</v>
      </c>
      <c r="J4" s="2" t="n">
        <v>3</v>
      </c>
      <c r="K4" s="2" t="n">
        <v>5</v>
      </c>
      <c r="L4" s="2" t="n">
        <f aca="false">J4*K4</f>
        <v>15</v>
      </c>
      <c r="M4" s="2" t="str">
        <f aca="false">IF(L4&gt;=15,"Critical",IF(L4&gt;=9,"High",IF(L4&gt;=4,"Medium","Low")))</f>
        <v>Critical</v>
      </c>
      <c r="N4" s="2" t="s">
        <v>50</v>
      </c>
      <c r="O4" s="2" t="s">
        <v>51</v>
      </c>
      <c r="P4" s="2" t="n">
        <v>1</v>
      </c>
      <c r="Q4" s="2" t="n">
        <v>5</v>
      </c>
      <c r="R4" s="2" t="n">
        <f aca="false">P4*Q4</f>
        <v>5</v>
      </c>
      <c r="S4" s="2" t="str">
        <f aca="false">IF(R4&gt;=15,"Critical",IF(R4&gt;=9,"High",IF(R4&gt;=4,"Medium","Low")))</f>
        <v>Medium</v>
      </c>
      <c r="T4" s="2" t="s">
        <v>32</v>
      </c>
      <c r="U4" s="2" t="s">
        <v>43</v>
      </c>
      <c r="V4" s="2" t="s">
        <v>52</v>
      </c>
    </row>
    <row r="5" customFormat="false" ht="39.55" hidden="false" customHeight="false" outlineLevel="0" collapsed="false">
      <c r="A5" s="2" t="s">
        <v>53</v>
      </c>
      <c r="B5" s="2" t="s">
        <v>54</v>
      </c>
      <c r="C5" s="2" t="s">
        <v>55</v>
      </c>
      <c r="D5" s="2" t="s">
        <v>25</v>
      </c>
      <c r="E5" s="2" t="s">
        <v>25</v>
      </c>
      <c r="F5" s="2" t="s">
        <v>26</v>
      </c>
      <c r="G5" s="2" t="s">
        <v>56</v>
      </c>
      <c r="H5" s="2" t="s">
        <v>57</v>
      </c>
      <c r="I5" s="2" t="s">
        <v>29</v>
      </c>
      <c r="J5" s="2" t="n">
        <v>3</v>
      </c>
      <c r="K5" s="2" t="n">
        <v>5</v>
      </c>
      <c r="L5" s="2" t="n">
        <f aca="false">J5*K5</f>
        <v>15</v>
      </c>
      <c r="M5" s="2" t="str">
        <f aca="false">IF(L5&gt;=15,"Critical",IF(L5&gt;=9,"High",IF(L5&gt;=4,"Medium","Low")))</f>
        <v>Critical</v>
      </c>
      <c r="N5" s="2" t="s">
        <v>58</v>
      </c>
      <c r="O5" s="2" t="s">
        <v>59</v>
      </c>
      <c r="P5" s="2" t="n">
        <v>1</v>
      </c>
      <c r="Q5" s="2" t="n">
        <v>5</v>
      </c>
      <c r="R5" s="2" t="n">
        <f aca="false">P5*Q5</f>
        <v>5</v>
      </c>
      <c r="S5" s="2" t="str">
        <f aca="false">IF(R5&gt;=15,"Critical",IF(R5&gt;=9,"High",IF(R5&gt;=4,"Medium","Low")))</f>
        <v>Medium</v>
      </c>
      <c r="T5" s="2" t="s">
        <v>60</v>
      </c>
      <c r="U5" s="2" t="s">
        <v>33</v>
      </c>
      <c r="V5" s="2" t="s">
        <v>61</v>
      </c>
    </row>
    <row r="6" customFormat="false" ht="26.85" hidden="false" customHeight="false" outlineLevel="0" collapsed="false">
      <c r="A6" s="2" t="s">
        <v>62</v>
      </c>
      <c r="B6" s="2" t="s">
        <v>63</v>
      </c>
      <c r="C6" s="2" t="s">
        <v>64</v>
      </c>
      <c r="D6" s="2" t="s">
        <v>25</v>
      </c>
      <c r="E6" s="2" t="s">
        <v>25</v>
      </c>
      <c r="F6" s="2" t="s">
        <v>26</v>
      </c>
      <c r="G6" s="2" t="s">
        <v>65</v>
      </c>
      <c r="H6" s="2" t="s">
        <v>66</v>
      </c>
      <c r="I6" s="2" t="s">
        <v>67</v>
      </c>
      <c r="J6" s="2" t="n">
        <v>2</v>
      </c>
      <c r="K6" s="2" t="n">
        <v>5</v>
      </c>
      <c r="L6" s="2" t="n">
        <f aca="false">J6*K6</f>
        <v>10</v>
      </c>
      <c r="M6" s="2" t="str">
        <f aca="false">IF(L6&gt;=15,"Critical",IF(L6&gt;=9,"High",IF(L6&gt;=4,"Medium","Low")))</f>
        <v>High</v>
      </c>
      <c r="N6" s="2" t="s">
        <v>68</v>
      </c>
      <c r="O6" s="2" t="s">
        <v>69</v>
      </c>
      <c r="P6" s="2" t="n">
        <v>1</v>
      </c>
      <c r="Q6" s="2" t="n">
        <v>4</v>
      </c>
      <c r="R6" s="2" t="n">
        <f aca="false">P6*Q6</f>
        <v>4</v>
      </c>
      <c r="S6" s="2" t="str">
        <f aca="false">IF(R6&gt;=15,"Critical",IF(R6&gt;=9,"High",IF(R6&gt;=4,"Medium","Low")))</f>
        <v>Medium</v>
      </c>
      <c r="T6" s="2" t="s">
        <v>70</v>
      </c>
      <c r="U6" s="2" t="s">
        <v>71</v>
      </c>
      <c r="V6" s="2" t="s">
        <v>72</v>
      </c>
    </row>
    <row r="7" customFormat="false" ht="26.85" hidden="false" customHeight="false" outlineLevel="0" collapsed="false">
      <c r="A7" s="2" t="s">
        <v>73</v>
      </c>
      <c r="B7" s="2" t="s">
        <v>74</v>
      </c>
      <c r="C7" s="2" t="s">
        <v>75</v>
      </c>
      <c r="D7" s="2" t="s">
        <v>26</v>
      </c>
      <c r="E7" s="2" t="s">
        <v>26</v>
      </c>
      <c r="F7" s="2" t="s">
        <v>25</v>
      </c>
      <c r="G7" s="2" t="s">
        <v>76</v>
      </c>
      <c r="H7" s="2" t="s">
        <v>77</v>
      </c>
      <c r="I7" s="2" t="s">
        <v>78</v>
      </c>
      <c r="J7" s="2" t="n">
        <v>2</v>
      </c>
      <c r="K7" s="2" t="n">
        <v>4</v>
      </c>
      <c r="L7" s="2" t="n">
        <f aca="false">J7*K7</f>
        <v>8</v>
      </c>
      <c r="M7" s="2" t="str">
        <f aca="false">IF(L7&gt;=15,"Critical",IF(L7&gt;=9,"High",IF(L7&gt;=4,"Medium","Low")))</f>
        <v>Medium</v>
      </c>
      <c r="N7" s="2" t="s">
        <v>79</v>
      </c>
      <c r="O7" s="2" t="s">
        <v>80</v>
      </c>
      <c r="P7" s="2" t="n">
        <v>1</v>
      </c>
      <c r="Q7" s="2" t="n">
        <v>3</v>
      </c>
      <c r="R7" s="2" t="n">
        <f aca="false">P7*Q7</f>
        <v>3</v>
      </c>
      <c r="S7" s="2" t="str">
        <f aca="false">IF(R7&gt;=15,"Critical",IF(R7&gt;=9,"High",IF(R7&gt;=4,"Medium","Low")))</f>
        <v>Low</v>
      </c>
      <c r="T7" s="2" t="s">
        <v>81</v>
      </c>
      <c r="U7" s="2" t="s">
        <v>43</v>
      </c>
      <c r="V7" s="2" t="s">
        <v>82</v>
      </c>
    </row>
    <row r="8" customFormat="false" ht="39.55" hidden="false" customHeight="false" outlineLevel="0" collapsed="false">
      <c r="A8" s="2" t="s">
        <v>83</v>
      </c>
      <c r="B8" s="2" t="s">
        <v>84</v>
      </c>
      <c r="C8" s="2" t="s">
        <v>85</v>
      </c>
      <c r="D8" s="2" t="s">
        <v>25</v>
      </c>
      <c r="E8" s="2" t="s">
        <v>25</v>
      </c>
      <c r="F8" s="2" t="s">
        <v>26</v>
      </c>
      <c r="G8" s="2" t="s">
        <v>86</v>
      </c>
      <c r="H8" s="2" t="s">
        <v>87</v>
      </c>
      <c r="I8" s="2" t="s">
        <v>29</v>
      </c>
      <c r="J8" s="2" t="n">
        <v>4</v>
      </c>
      <c r="K8" s="2" t="n">
        <v>5</v>
      </c>
      <c r="L8" s="2" t="n">
        <f aca="false">J8*K8</f>
        <v>20</v>
      </c>
      <c r="M8" s="2" t="str">
        <f aca="false">IF(L8&gt;=15,"Critical",IF(L8&gt;=9,"High",IF(L8&gt;=4,"Medium","Low")))</f>
        <v>Critical</v>
      </c>
      <c r="N8" s="2" t="s">
        <v>88</v>
      </c>
      <c r="O8" s="2" t="s">
        <v>89</v>
      </c>
      <c r="P8" s="2" t="n">
        <v>1</v>
      </c>
      <c r="Q8" s="2" t="n">
        <v>5</v>
      </c>
      <c r="R8" s="2" t="n">
        <f aca="false">P8*Q8</f>
        <v>5</v>
      </c>
      <c r="S8" s="2" t="str">
        <f aca="false">IF(R8&gt;=15,"Critical",IF(R8&gt;=9,"High",IF(R8&gt;=4,"Medium","Low")))</f>
        <v>Medium</v>
      </c>
      <c r="T8" s="2" t="s">
        <v>32</v>
      </c>
      <c r="U8" s="2" t="s">
        <v>43</v>
      </c>
      <c r="V8" s="2" t="s">
        <v>90</v>
      </c>
    </row>
    <row r="9" customFormat="false" ht="39.55" hidden="false" customHeight="false" outlineLevel="0" collapsed="false">
      <c r="A9" s="2" t="s">
        <v>91</v>
      </c>
      <c r="B9" s="2" t="s">
        <v>92</v>
      </c>
      <c r="C9" s="2" t="s">
        <v>93</v>
      </c>
      <c r="D9" s="2" t="s">
        <v>25</v>
      </c>
      <c r="E9" s="2" t="s">
        <v>26</v>
      </c>
      <c r="F9" s="2" t="s">
        <v>94</v>
      </c>
      <c r="G9" s="2" t="s">
        <v>95</v>
      </c>
      <c r="H9" s="2" t="s">
        <v>96</v>
      </c>
      <c r="I9" s="2" t="s">
        <v>97</v>
      </c>
      <c r="J9" s="2" t="n">
        <v>2</v>
      </c>
      <c r="K9" s="2" t="n">
        <v>5</v>
      </c>
      <c r="L9" s="2" t="n">
        <f aca="false">J9*K9</f>
        <v>10</v>
      </c>
      <c r="M9" s="2" t="str">
        <f aca="false">IF(L9&gt;=15,"Critical",IF(L9&gt;=9,"High",IF(L9&gt;=4,"Medium","Low")))</f>
        <v>High</v>
      </c>
      <c r="N9" s="2" t="s">
        <v>98</v>
      </c>
      <c r="O9" s="2" t="s">
        <v>99</v>
      </c>
      <c r="P9" s="2" t="n">
        <v>1</v>
      </c>
      <c r="Q9" s="2" t="n">
        <v>3</v>
      </c>
      <c r="R9" s="2" t="n">
        <f aca="false">P9*Q9</f>
        <v>3</v>
      </c>
      <c r="S9" s="2" t="str">
        <f aca="false">IF(R9&gt;=15,"Critical",IF(R9&gt;=9,"High",IF(R9&gt;=4,"Medium","Low")))</f>
        <v>Low</v>
      </c>
      <c r="T9" s="2" t="s">
        <v>100</v>
      </c>
      <c r="U9" s="2" t="s">
        <v>33</v>
      </c>
      <c r="V9" s="2" t="s">
        <v>90</v>
      </c>
    </row>
    <row r="10" customFormat="false" ht="39.55" hidden="false" customHeight="false" outlineLevel="0" collapsed="false">
      <c r="A10" s="2" t="s">
        <v>101</v>
      </c>
      <c r="B10" s="2" t="s">
        <v>102</v>
      </c>
      <c r="C10" s="2" t="s">
        <v>103</v>
      </c>
      <c r="D10" s="2" t="s">
        <v>26</v>
      </c>
      <c r="E10" s="2" t="s">
        <v>25</v>
      </c>
      <c r="F10" s="2" t="s">
        <v>25</v>
      </c>
      <c r="G10" s="2" t="s">
        <v>104</v>
      </c>
      <c r="H10" s="2" t="s">
        <v>105</v>
      </c>
      <c r="I10" s="2" t="s">
        <v>106</v>
      </c>
      <c r="J10" s="2" t="n">
        <v>2</v>
      </c>
      <c r="K10" s="2" t="n">
        <v>5</v>
      </c>
      <c r="L10" s="2" t="n">
        <f aca="false">J10*K10</f>
        <v>10</v>
      </c>
      <c r="M10" s="2" t="str">
        <f aca="false">IF(L10&gt;=15,"Critical",IF(L10&gt;=9,"High",IF(L10&gt;=4,"Medium","Low")))</f>
        <v>High</v>
      </c>
      <c r="N10" s="2" t="s">
        <v>107</v>
      </c>
      <c r="O10" s="2" t="s">
        <v>108</v>
      </c>
      <c r="P10" s="2" t="n">
        <v>1</v>
      </c>
      <c r="Q10" s="2" t="n">
        <v>4</v>
      </c>
      <c r="R10" s="2" t="n">
        <f aca="false">P10*Q10</f>
        <v>4</v>
      </c>
      <c r="S10" s="2" t="str">
        <f aca="false">IF(R10&gt;=15,"Critical",IF(R10&gt;=9,"High",IF(R10&gt;=4,"Medium","Low")))</f>
        <v>Medium</v>
      </c>
      <c r="T10" s="2" t="s">
        <v>109</v>
      </c>
      <c r="U10" s="2" t="s">
        <v>43</v>
      </c>
      <c r="V10" s="2" t="s">
        <v>110</v>
      </c>
    </row>
    <row r="11" customFormat="false" ht="26.85" hidden="false" customHeight="false" outlineLevel="0" collapsed="false">
      <c r="A11" s="2" t="s">
        <v>111</v>
      </c>
      <c r="B11" s="2" t="s">
        <v>112</v>
      </c>
      <c r="C11" s="2" t="s">
        <v>24</v>
      </c>
      <c r="D11" s="2" t="s">
        <v>25</v>
      </c>
      <c r="E11" s="2" t="s">
        <v>26</v>
      </c>
      <c r="F11" s="2" t="s">
        <v>26</v>
      </c>
      <c r="G11" s="2" t="s">
        <v>113</v>
      </c>
      <c r="H11" s="2" t="s">
        <v>114</v>
      </c>
      <c r="I11" s="2" t="s">
        <v>29</v>
      </c>
      <c r="J11" s="2" t="n">
        <v>3</v>
      </c>
      <c r="K11" s="2" t="n">
        <v>4</v>
      </c>
      <c r="L11" s="2" t="n">
        <f aca="false">J11*K11</f>
        <v>12</v>
      </c>
      <c r="M11" s="2" t="str">
        <f aca="false">IF(L11&gt;=15,"Critical",IF(L11&gt;=9,"High",IF(L11&gt;=4,"Medium","Low")))</f>
        <v>High</v>
      </c>
      <c r="N11" s="2" t="s">
        <v>115</v>
      </c>
      <c r="O11" s="2" t="s">
        <v>116</v>
      </c>
      <c r="P11" s="2" t="n">
        <v>1</v>
      </c>
      <c r="Q11" s="2" t="n">
        <v>3</v>
      </c>
      <c r="R11" s="2" t="n">
        <f aca="false">P11*Q11</f>
        <v>3</v>
      </c>
      <c r="S11" s="2" t="str">
        <f aca="false">IF(R11&gt;=15,"Critical",IF(R11&gt;=9,"High",IF(R11&gt;=4,"Medium","Low")))</f>
        <v>Low</v>
      </c>
      <c r="T11" s="2" t="s">
        <v>109</v>
      </c>
      <c r="U11" s="2" t="s">
        <v>43</v>
      </c>
      <c r="V11" s="2" t="s">
        <v>117</v>
      </c>
    </row>
    <row r="12" customFormat="false" ht="39.55" hidden="false" customHeight="false" outlineLevel="0" collapsed="false">
      <c r="A12" s="2" t="s">
        <v>118</v>
      </c>
      <c r="B12" s="2" t="s">
        <v>119</v>
      </c>
      <c r="C12" s="2" t="s">
        <v>64</v>
      </c>
      <c r="D12" s="2" t="s">
        <v>26</v>
      </c>
      <c r="E12" s="2" t="s">
        <v>26</v>
      </c>
      <c r="F12" s="2" t="s">
        <v>26</v>
      </c>
      <c r="G12" s="2" t="s">
        <v>120</v>
      </c>
      <c r="H12" s="2" t="s">
        <v>121</v>
      </c>
      <c r="I12" s="2" t="s">
        <v>67</v>
      </c>
      <c r="J12" s="2" t="n">
        <v>4</v>
      </c>
      <c r="K12" s="2" t="n">
        <v>3</v>
      </c>
      <c r="L12" s="2" t="n">
        <f aca="false">J12*K12</f>
        <v>12</v>
      </c>
      <c r="M12" s="2" t="str">
        <f aca="false">IF(L12&gt;=15,"Critical",IF(L12&gt;=9,"High",IF(L12&gt;=4,"Medium","Low")))</f>
        <v>High</v>
      </c>
      <c r="N12" s="2" t="s">
        <v>122</v>
      </c>
      <c r="O12" s="2" t="s">
        <v>123</v>
      </c>
      <c r="P12" s="2" t="n">
        <v>2</v>
      </c>
      <c r="Q12" s="2" t="n">
        <v>2</v>
      </c>
      <c r="R12" s="2" t="n">
        <f aca="false">P12*Q12</f>
        <v>4</v>
      </c>
      <c r="S12" s="2" t="str">
        <f aca="false">IF(R12&gt;=15,"Critical",IF(R12&gt;=9,"High",IF(R12&gt;=4,"Medium","Low")))</f>
        <v>Medium</v>
      </c>
      <c r="T12" s="2" t="s">
        <v>124</v>
      </c>
      <c r="U12" s="2" t="s">
        <v>43</v>
      </c>
      <c r="V12" s="2" t="s">
        <v>125</v>
      </c>
    </row>
    <row r="13" customFormat="false" ht="26.85" hidden="false" customHeight="false" outlineLevel="0" collapsed="false">
      <c r="A13" s="2" t="s">
        <v>126</v>
      </c>
      <c r="B13" s="2" t="s">
        <v>127</v>
      </c>
      <c r="C13" s="2" t="s">
        <v>128</v>
      </c>
      <c r="D13" s="2" t="s">
        <v>94</v>
      </c>
      <c r="E13" s="2" t="s">
        <v>94</v>
      </c>
      <c r="F13" s="2" t="s">
        <v>26</v>
      </c>
      <c r="G13" s="2" t="s">
        <v>129</v>
      </c>
      <c r="H13" s="2" t="s">
        <v>130</v>
      </c>
      <c r="I13" s="2" t="s">
        <v>131</v>
      </c>
      <c r="J13" s="2" t="n">
        <v>2</v>
      </c>
      <c r="K13" s="2" t="n">
        <v>3</v>
      </c>
      <c r="L13" s="2" t="n">
        <f aca="false">J13*K13</f>
        <v>6</v>
      </c>
      <c r="M13" s="2" t="str">
        <f aca="false">IF(L13&gt;=15,"Critical",IF(L13&gt;=9,"High",IF(L13&gt;=4,"Medium","Low")))</f>
        <v>Medium</v>
      </c>
      <c r="N13" s="2" t="s">
        <v>132</v>
      </c>
      <c r="O13" s="2" t="s">
        <v>133</v>
      </c>
      <c r="P13" s="2" t="n">
        <v>1</v>
      </c>
      <c r="Q13" s="2" t="n">
        <v>2</v>
      </c>
      <c r="R13" s="2" t="n">
        <f aca="false">P13*Q13</f>
        <v>2</v>
      </c>
      <c r="S13" s="2" t="str">
        <f aca="false">IF(R13&gt;=15,"Critical",IF(R13&gt;=9,"High",IF(R13&gt;=4,"Medium","Low")))</f>
        <v>Low</v>
      </c>
      <c r="T13" s="2" t="s">
        <v>134</v>
      </c>
      <c r="U13" s="2" t="s">
        <v>71</v>
      </c>
      <c r="V13" s="2" t="s">
        <v>135</v>
      </c>
    </row>
    <row r="14" customFormat="false" ht="39.55" hidden="false" customHeight="false" outlineLevel="0" collapsed="false">
      <c r="A14" s="2" t="s">
        <v>136</v>
      </c>
      <c r="B14" s="2" t="s">
        <v>137</v>
      </c>
      <c r="C14" s="2" t="s">
        <v>138</v>
      </c>
      <c r="D14" s="2" t="s">
        <v>26</v>
      </c>
      <c r="E14" s="2" t="s">
        <v>26</v>
      </c>
      <c r="F14" s="2" t="s">
        <v>26</v>
      </c>
      <c r="G14" s="2" t="s">
        <v>139</v>
      </c>
      <c r="H14" s="2" t="s">
        <v>140</v>
      </c>
      <c r="I14" s="2" t="s">
        <v>29</v>
      </c>
      <c r="J14" s="2" t="n">
        <v>3</v>
      </c>
      <c r="K14" s="2" t="n">
        <v>4</v>
      </c>
      <c r="L14" s="2" t="n">
        <f aca="false">J14*K14</f>
        <v>12</v>
      </c>
      <c r="M14" s="2" t="str">
        <f aca="false">IF(L14&gt;=15,"Critical",IF(L14&gt;=9,"High",IF(L14&gt;=4,"Medium","Low")))</f>
        <v>High</v>
      </c>
      <c r="N14" s="2" t="s">
        <v>141</v>
      </c>
      <c r="O14" s="2" t="s">
        <v>142</v>
      </c>
      <c r="P14" s="2" t="n">
        <v>1</v>
      </c>
      <c r="Q14" s="2" t="n">
        <v>3</v>
      </c>
      <c r="R14" s="2" t="n">
        <f aca="false">P14*Q14</f>
        <v>3</v>
      </c>
      <c r="S14" s="2" t="str">
        <f aca="false">IF(R14&gt;=15,"Critical",IF(R14&gt;=9,"High",IF(R14&gt;=4,"Medium","Low")))</f>
        <v>Low</v>
      </c>
      <c r="T14" s="2" t="s">
        <v>32</v>
      </c>
      <c r="U14" s="2" t="s">
        <v>33</v>
      </c>
      <c r="V14" s="2" t="s">
        <v>143</v>
      </c>
    </row>
    <row r="15" customFormat="false" ht="39.55" hidden="false" customHeight="false" outlineLevel="0" collapsed="false">
      <c r="A15" s="2" t="s">
        <v>144</v>
      </c>
      <c r="B15" s="2" t="s">
        <v>145</v>
      </c>
      <c r="C15" s="2" t="s">
        <v>64</v>
      </c>
      <c r="D15" s="2" t="s">
        <v>25</v>
      </c>
      <c r="E15" s="2" t="s">
        <v>25</v>
      </c>
      <c r="F15" s="2" t="s">
        <v>26</v>
      </c>
      <c r="G15" s="2" t="s">
        <v>146</v>
      </c>
      <c r="H15" s="2" t="s">
        <v>147</v>
      </c>
      <c r="I15" s="2" t="s">
        <v>148</v>
      </c>
      <c r="J15" s="2" t="n">
        <v>2</v>
      </c>
      <c r="K15" s="2" t="n">
        <v>4</v>
      </c>
      <c r="L15" s="2" t="n">
        <f aca="false">J15*K15</f>
        <v>8</v>
      </c>
      <c r="M15" s="2" t="str">
        <f aca="false">IF(L15&gt;=15,"Critical",IF(L15&gt;=9,"High",IF(L15&gt;=4,"Medium","Low")))</f>
        <v>Medium</v>
      </c>
      <c r="N15" s="2" t="s">
        <v>149</v>
      </c>
      <c r="O15" s="2" t="s">
        <v>150</v>
      </c>
      <c r="P15" s="2" t="n">
        <v>1</v>
      </c>
      <c r="Q15" s="2" t="n">
        <v>3</v>
      </c>
      <c r="R15" s="2" t="n">
        <f aca="false">P15*Q15</f>
        <v>3</v>
      </c>
      <c r="S15" s="2" t="str">
        <f aca="false">IF(R15&gt;=15,"Critical",IF(R15&gt;=9,"High",IF(R15&gt;=4,"Medium","Low")))</f>
        <v>Low</v>
      </c>
      <c r="T15" s="2" t="s">
        <v>151</v>
      </c>
      <c r="U15" s="2" t="s">
        <v>43</v>
      </c>
      <c r="V15" s="2" t="s">
        <v>152</v>
      </c>
    </row>
    <row r="16" customFormat="false" ht="26.85" hidden="false" customHeight="false" outlineLevel="0" collapsed="false">
      <c r="A16" s="2" t="s">
        <v>153</v>
      </c>
      <c r="B16" s="2" t="s">
        <v>154</v>
      </c>
      <c r="C16" s="2" t="s">
        <v>155</v>
      </c>
      <c r="D16" s="2" t="s">
        <v>26</v>
      </c>
      <c r="E16" s="2" t="s">
        <v>94</v>
      </c>
      <c r="F16" s="2" t="s">
        <v>94</v>
      </c>
      <c r="G16" s="2" t="s">
        <v>156</v>
      </c>
      <c r="H16" s="2" t="s">
        <v>157</v>
      </c>
      <c r="I16" s="2" t="s">
        <v>67</v>
      </c>
      <c r="J16" s="2" t="n">
        <v>3</v>
      </c>
      <c r="K16" s="2" t="n">
        <v>4</v>
      </c>
      <c r="L16" s="2" t="n">
        <f aca="false">J16*K16</f>
        <v>12</v>
      </c>
      <c r="M16" s="2" t="str">
        <f aca="false">IF(L16&gt;=15,"Critical",IF(L16&gt;=9,"High",IF(L16&gt;=4,"Medium","Low")))</f>
        <v>High</v>
      </c>
      <c r="N16" s="2" t="s">
        <v>158</v>
      </c>
      <c r="O16" s="2" t="s">
        <v>159</v>
      </c>
      <c r="P16" s="2" t="n">
        <v>1</v>
      </c>
      <c r="Q16" s="2" t="n">
        <v>3</v>
      </c>
      <c r="R16" s="2" t="n">
        <f aca="false">P16*Q16</f>
        <v>3</v>
      </c>
      <c r="S16" s="2" t="str">
        <f aca="false">IF(R16&gt;=15,"Critical",IF(R16&gt;=9,"High",IF(R16&gt;=4,"Medium","Low")))</f>
        <v>Low</v>
      </c>
      <c r="T16" s="2" t="s">
        <v>160</v>
      </c>
      <c r="U16" s="2" t="s">
        <v>43</v>
      </c>
      <c r="V16" s="2" t="s">
        <v>161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 t="n">
        <f aca="false">J17*K17</f>
        <v>0</v>
      </c>
      <c r="M17" s="2" t="str">
        <f aca="false">IF(L17&gt;=15,"Critical",IF(L17&gt;=9,"High",IF(L17&gt;=4,"Medium","Low")))</f>
        <v>Low</v>
      </c>
      <c r="N17" s="2"/>
      <c r="O17" s="2"/>
      <c r="P17" s="2"/>
      <c r="Q17" s="2"/>
      <c r="R17" s="2" t="n">
        <f aca="false">P17*Q17</f>
        <v>0</v>
      </c>
      <c r="S17" s="2" t="str">
        <f aca="false">IF(R17&gt;=15,"Critical",IF(R17&gt;=9,"High",IF(R17&gt;=4,"Medium","Low")))</f>
        <v>Low</v>
      </c>
      <c r="T17" s="2"/>
      <c r="U17" s="2"/>
      <c r="V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 t="n">
        <f aca="false">J18*K18</f>
        <v>0</v>
      </c>
      <c r="M18" s="2" t="str">
        <f aca="false">IF(L18&gt;=15,"Critical",IF(L18&gt;=9,"High",IF(L18&gt;=4,"Medium","Low")))</f>
        <v>Low</v>
      </c>
      <c r="N18" s="2"/>
      <c r="O18" s="2"/>
      <c r="P18" s="2"/>
      <c r="Q18" s="2"/>
      <c r="R18" s="2" t="n">
        <f aca="false">P18*Q18</f>
        <v>0</v>
      </c>
      <c r="S18" s="2" t="str">
        <f aca="false">IF(R18&gt;=15,"Critical",IF(R18&gt;=9,"High",IF(R18&gt;=4,"Medium","Low")))</f>
        <v>Low</v>
      </c>
      <c r="T18" s="2"/>
      <c r="U18" s="2"/>
      <c r="V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 t="n">
        <f aca="false">J19*K19</f>
        <v>0</v>
      </c>
      <c r="M19" s="2" t="str">
        <f aca="false">IF(L19&gt;=15,"Critical",IF(L19&gt;=9,"High",IF(L19&gt;=4,"Medium","Low")))</f>
        <v>Low</v>
      </c>
      <c r="N19" s="2"/>
      <c r="O19" s="2"/>
      <c r="P19" s="2"/>
      <c r="Q19" s="2"/>
      <c r="R19" s="2" t="n">
        <f aca="false">P19*Q19</f>
        <v>0</v>
      </c>
      <c r="S19" s="2" t="str">
        <f aca="false">IF(R19&gt;=15,"Critical",IF(R19&gt;=9,"High",IF(R19&gt;=4,"Medium","Low")))</f>
        <v>Low</v>
      </c>
      <c r="T19" s="2"/>
      <c r="U19" s="2"/>
      <c r="V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 t="n">
        <f aca="false">J20*K20</f>
        <v>0</v>
      </c>
      <c r="M20" s="2" t="str">
        <f aca="false">IF(L20&gt;=15,"Critical",IF(L20&gt;=9,"High",IF(L20&gt;=4,"Medium","Low")))</f>
        <v>Low</v>
      </c>
      <c r="N20" s="2"/>
      <c r="O20" s="2"/>
      <c r="P20" s="2"/>
      <c r="Q20" s="2"/>
      <c r="R20" s="2" t="n">
        <f aca="false">P20*Q20</f>
        <v>0</v>
      </c>
      <c r="S20" s="2" t="str">
        <f aca="false">IF(R20&gt;=15,"Critical",IF(R20&gt;=9,"High",IF(R20&gt;=4,"Medium","Low")))</f>
        <v>Low</v>
      </c>
      <c r="T20" s="2"/>
      <c r="U20" s="2"/>
      <c r="V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 t="n">
        <f aca="false">J21*K21</f>
        <v>0</v>
      </c>
      <c r="M21" s="2" t="str">
        <f aca="false">IF(L21&gt;=15,"Critical",IF(L21&gt;=9,"High",IF(L21&gt;=4,"Medium","Low")))</f>
        <v>Low</v>
      </c>
      <c r="N21" s="2"/>
      <c r="O21" s="2"/>
      <c r="P21" s="2"/>
      <c r="Q21" s="2"/>
      <c r="R21" s="2" t="n">
        <f aca="false">P21*Q21</f>
        <v>0</v>
      </c>
      <c r="S21" s="2" t="str">
        <f aca="false">IF(R21&gt;=15,"Critical",IF(R21&gt;=9,"High",IF(R21&gt;=4,"Medium","Low")))</f>
        <v>Low</v>
      </c>
      <c r="T21" s="2"/>
      <c r="U21" s="2"/>
      <c r="V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 t="n">
        <f aca="false">J22*K22</f>
        <v>0</v>
      </c>
      <c r="M22" s="2" t="str">
        <f aca="false">IF(L22&gt;=15,"Critical",IF(L22&gt;=9,"High",IF(L22&gt;=4,"Medium","Low")))</f>
        <v>Low</v>
      </c>
      <c r="N22" s="2"/>
      <c r="O22" s="2"/>
      <c r="P22" s="2"/>
      <c r="Q22" s="2"/>
      <c r="R22" s="2" t="n">
        <f aca="false">P22*Q22</f>
        <v>0</v>
      </c>
      <c r="S22" s="2" t="str">
        <f aca="false">IF(R22&gt;=15,"Critical",IF(R22&gt;=9,"High",IF(R22&gt;=4,"Medium","Low")))</f>
        <v>Low</v>
      </c>
      <c r="T22" s="2"/>
      <c r="U22" s="2"/>
      <c r="V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 t="n">
        <f aca="false">J23*K23</f>
        <v>0</v>
      </c>
      <c r="M23" s="2" t="str">
        <f aca="false">IF(L23&gt;=15,"Critical",IF(L23&gt;=9,"High",IF(L23&gt;=4,"Medium","Low")))</f>
        <v>Low</v>
      </c>
      <c r="N23" s="2"/>
      <c r="O23" s="2"/>
      <c r="P23" s="2"/>
      <c r="Q23" s="2"/>
      <c r="R23" s="2" t="n">
        <f aca="false">P23*Q23</f>
        <v>0</v>
      </c>
      <c r="S23" s="2" t="str">
        <f aca="false">IF(R23&gt;=15,"Critical",IF(R23&gt;=9,"High",IF(R23&gt;=4,"Medium","Low")))</f>
        <v>Low</v>
      </c>
      <c r="T23" s="2"/>
      <c r="U23" s="2"/>
      <c r="V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 t="n">
        <f aca="false">J24*K24</f>
        <v>0</v>
      </c>
      <c r="M24" s="2" t="str">
        <f aca="false">IF(L24&gt;=15,"Critical",IF(L24&gt;=9,"High",IF(L24&gt;=4,"Medium","Low")))</f>
        <v>Low</v>
      </c>
      <c r="N24" s="2"/>
      <c r="O24" s="2"/>
      <c r="P24" s="2"/>
      <c r="Q24" s="2"/>
      <c r="R24" s="2" t="n">
        <f aca="false">P24*Q24</f>
        <v>0</v>
      </c>
      <c r="S24" s="2" t="str">
        <f aca="false">IF(R24&gt;=15,"Critical",IF(R24&gt;=9,"High",IF(R24&gt;=4,"Medium","Low")))</f>
        <v>Low</v>
      </c>
      <c r="T24" s="2"/>
      <c r="U24" s="2"/>
      <c r="V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 t="n">
        <f aca="false">J25*K25</f>
        <v>0</v>
      </c>
      <c r="M25" s="2" t="str">
        <f aca="false">IF(L25&gt;=15,"Critical",IF(L25&gt;=9,"High",IF(L25&gt;=4,"Medium","Low")))</f>
        <v>Low</v>
      </c>
      <c r="N25" s="2"/>
      <c r="O25" s="2"/>
      <c r="P25" s="2"/>
      <c r="Q25" s="2"/>
      <c r="R25" s="2" t="n">
        <f aca="false">P25*Q25</f>
        <v>0</v>
      </c>
      <c r="S25" s="2" t="str">
        <f aca="false">IF(R25&gt;=15,"Critical",IF(R25&gt;=9,"High",IF(R25&gt;=4,"Medium","Low")))</f>
        <v>Low</v>
      </c>
      <c r="T25" s="2"/>
      <c r="U25" s="2"/>
      <c r="V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 t="n">
        <f aca="false">J26*K26</f>
        <v>0</v>
      </c>
      <c r="M26" s="2" t="str">
        <f aca="false">IF(L26&gt;=15,"Critical",IF(L26&gt;=9,"High",IF(L26&gt;=4,"Medium","Low")))</f>
        <v>Low</v>
      </c>
      <c r="N26" s="2"/>
      <c r="O26" s="2"/>
      <c r="P26" s="2"/>
      <c r="Q26" s="2"/>
      <c r="R26" s="2" t="n">
        <f aca="false">P26*Q26</f>
        <v>0</v>
      </c>
      <c r="S26" s="2" t="str">
        <f aca="false">IF(R26&gt;=15,"Critical",IF(R26&gt;=9,"High",IF(R26&gt;=4,"Medium","Low")))</f>
        <v>Low</v>
      </c>
      <c r="T26" s="2"/>
      <c r="U26" s="2"/>
      <c r="V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 t="n">
        <f aca="false">J27*K27</f>
        <v>0</v>
      </c>
      <c r="M27" s="2" t="str">
        <f aca="false">IF(L27&gt;=15,"Critical",IF(L27&gt;=9,"High",IF(L27&gt;=4,"Medium","Low")))</f>
        <v>Low</v>
      </c>
      <c r="N27" s="2"/>
      <c r="O27" s="2"/>
      <c r="P27" s="2"/>
      <c r="Q27" s="2"/>
      <c r="R27" s="2" t="n">
        <f aca="false">P27*Q27</f>
        <v>0</v>
      </c>
      <c r="S27" s="2" t="str">
        <f aca="false">IF(R27&gt;=15,"Critical",IF(R27&gt;=9,"High",IF(R27&gt;=4,"Medium","Low")))</f>
        <v>Low</v>
      </c>
      <c r="T27" s="2"/>
      <c r="U27" s="2"/>
      <c r="V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 t="n">
        <f aca="false">J28*K28</f>
        <v>0</v>
      </c>
      <c r="M28" s="2" t="str">
        <f aca="false">IF(L28&gt;=15,"Critical",IF(L28&gt;=9,"High",IF(L28&gt;=4,"Medium","Low")))</f>
        <v>Low</v>
      </c>
      <c r="N28" s="2"/>
      <c r="O28" s="2"/>
      <c r="P28" s="2"/>
      <c r="Q28" s="2"/>
      <c r="R28" s="2" t="n">
        <f aca="false">P28*Q28</f>
        <v>0</v>
      </c>
      <c r="S28" s="2" t="str">
        <f aca="false">IF(R28&gt;=15,"Critical",IF(R28&gt;=9,"High",IF(R28&gt;=4,"Medium","Low")))</f>
        <v>Low</v>
      </c>
      <c r="T28" s="2"/>
      <c r="U28" s="2"/>
      <c r="V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 t="n">
        <f aca="false">J29*K29</f>
        <v>0</v>
      </c>
      <c r="M29" s="2" t="str">
        <f aca="false">IF(L29&gt;=15,"Critical",IF(L29&gt;=9,"High",IF(L29&gt;=4,"Medium","Low")))</f>
        <v>Low</v>
      </c>
      <c r="N29" s="2"/>
      <c r="O29" s="2"/>
      <c r="P29" s="2"/>
      <c r="Q29" s="2"/>
      <c r="R29" s="2" t="n">
        <f aca="false">P29*Q29</f>
        <v>0</v>
      </c>
      <c r="S29" s="2" t="str">
        <f aca="false">IF(R29&gt;=15,"Critical",IF(R29&gt;=9,"High",IF(R29&gt;=4,"Medium","Low")))</f>
        <v>Low</v>
      </c>
      <c r="T29" s="2"/>
      <c r="U29" s="2"/>
      <c r="V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 t="n">
        <f aca="false">J30*K30</f>
        <v>0</v>
      </c>
      <c r="M30" s="2" t="str">
        <f aca="false">IF(L30&gt;=15,"Critical",IF(L30&gt;=9,"High",IF(L30&gt;=4,"Medium","Low")))</f>
        <v>Low</v>
      </c>
      <c r="N30" s="2"/>
      <c r="O30" s="2"/>
      <c r="P30" s="2"/>
      <c r="Q30" s="2"/>
      <c r="R30" s="2" t="n">
        <f aca="false">P30*Q30</f>
        <v>0</v>
      </c>
      <c r="S30" s="2" t="str">
        <f aca="false">IF(R30&gt;=15,"Critical",IF(R30&gt;=9,"High",IF(R30&gt;=4,"Medium","Low")))</f>
        <v>Low</v>
      </c>
      <c r="T30" s="2"/>
      <c r="U30" s="2"/>
      <c r="V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 t="n">
        <f aca="false">J31*K31</f>
        <v>0</v>
      </c>
      <c r="M31" s="2" t="str">
        <f aca="false">IF(L31&gt;=15,"Critical",IF(L31&gt;=9,"High",IF(L31&gt;=4,"Medium","Low")))</f>
        <v>Low</v>
      </c>
      <c r="N31" s="2"/>
      <c r="O31" s="2"/>
      <c r="P31" s="2"/>
      <c r="Q31" s="2"/>
      <c r="R31" s="2" t="n">
        <f aca="false">P31*Q31</f>
        <v>0</v>
      </c>
      <c r="S31" s="2" t="str">
        <f aca="false">IF(R31&gt;=15,"Critical",IF(R31&gt;=9,"High",IF(R31&gt;=4,"Medium","Low")))</f>
        <v>Low</v>
      </c>
      <c r="T31" s="2"/>
      <c r="U31" s="2"/>
      <c r="V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 t="n">
        <f aca="false">J32*K32</f>
        <v>0</v>
      </c>
      <c r="M32" s="2" t="str">
        <f aca="false">IF(L32&gt;=15,"Critical",IF(L32&gt;=9,"High",IF(L32&gt;=4,"Medium","Low")))</f>
        <v>Low</v>
      </c>
      <c r="N32" s="2"/>
      <c r="O32" s="2"/>
      <c r="P32" s="2"/>
      <c r="Q32" s="2"/>
      <c r="R32" s="2" t="n">
        <f aca="false">P32*Q32</f>
        <v>0</v>
      </c>
      <c r="S32" s="2" t="str">
        <f aca="false">IF(R32&gt;=15,"Critical",IF(R32&gt;=9,"High",IF(R32&gt;=4,"Medium","Low")))</f>
        <v>Low</v>
      </c>
      <c r="T32" s="2"/>
      <c r="U32" s="2"/>
      <c r="V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 t="n">
        <f aca="false">J33*K33</f>
        <v>0</v>
      </c>
      <c r="M33" s="2" t="str">
        <f aca="false">IF(L33&gt;=15,"Critical",IF(L33&gt;=9,"High",IF(L33&gt;=4,"Medium","Low")))</f>
        <v>Low</v>
      </c>
      <c r="N33" s="2"/>
      <c r="O33" s="2"/>
      <c r="P33" s="2"/>
      <c r="Q33" s="2"/>
      <c r="R33" s="2" t="n">
        <f aca="false">P33*Q33</f>
        <v>0</v>
      </c>
      <c r="S33" s="2" t="str">
        <f aca="false">IF(R33&gt;=15,"Critical",IF(R33&gt;=9,"High",IF(R33&gt;=4,"Medium","Low")))</f>
        <v>Low</v>
      </c>
      <c r="T33" s="2"/>
      <c r="U33" s="2"/>
      <c r="V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 t="n">
        <f aca="false">J34*K34</f>
        <v>0</v>
      </c>
      <c r="M34" s="2" t="str">
        <f aca="false">IF(L34&gt;=15,"Critical",IF(L34&gt;=9,"High",IF(L34&gt;=4,"Medium","Low")))</f>
        <v>Low</v>
      </c>
      <c r="N34" s="2"/>
      <c r="O34" s="2"/>
      <c r="P34" s="2"/>
      <c r="Q34" s="2"/>
      <c r="R34" s="2" t="n">
        <f aca="false">P34*Q34</f>
        <v>0</v>
      </c>
      <c r="S34" s="2" t="str">
        <f aca="false">IF(R34&gt;=15,"Critical",IF(R34&gt;=9,"High",IF(R34&gt;=4,"Medium","Low")))</f>
        <v>Low</v>
      </c>
      <c r="T34" s="2"/>
      <c r="U34" s="2"/>
      <c r="V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 t="n">
        <f aca="false">J35*K35</f>
        <v>0</v>
      </c>
      <c r="M35" s="2" t="str">
        <f aca="false">IF(L35&gt;=15,"Critical",IF(L35&gt;=9,"High",IF(L35&gt;=4,"Medium","Low")))</f>
        <v>Low</v>
      </c>
      <c r="N35" s="2"/>
      <c r="O35" s="2"/>
      <c r="P35" s="2"/>
      <c r="Q35" s="2"/>
      <c r="R35" s="2" t="n">
        <f aca="false">P35*Q35</f>
        <v>0</v>
      </c>
      <c r="S35" s="2" t="str">
        <f aca="false">IF(R35&gt;=15,"Critical",IF(R35&gt;=9,"High",IF(R35&gt;=4,"Medium","Low")))</f>
        <v>Low</v>
      </c>
      <c r="T35" s="2"/>
      <c r="U35" s="2"/>
      <c r="V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 t="n">
        <f aca="false">J36*K36</f>
        <v>0</v>
      </c>
      <c r="M36" s="2" t="str">
        <f aca="false">IF(L36&gt;=15,"Critical",IF(L36&gt;=9,"High",IF(L36&gt;=4,"Medium","Low")))</f>
        <v>Low</v>
      </c>
      <c r="N36" s="2"/>
      <c r="O36" s="2"/>
      <c r="P36" s="2"/>
      <c r="Q36" s="2"/>
      <c r="R36" s="2" t="n">
        <f aca="false">P36*Q36</f>
        <v>0</v>
      </c>
      <c r="S36" s="2" t="str">
        <f aca="false">IF(R36&gt;=15,"Critical",IF(R36&gt;=9,"High",IF(R36&gt;=4,"Medium","Low")))</f>
        <v>Low</v>
      </c>
      <c r="T36" s="2"/>
      <c r="U36" s="2"/>
      <c r="V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 t="n">
        <f aca="false">J37*K37</f>
        <v>0</v>
      </c>
      <c r="M37" s="2" t="str">
        <f aca="false">IF(L37&gt;=15,"Critical",IF(L37&gt;=9,"High",IF(L37&gt;=4,"Medium","Low")))</f>
        <v>Low</v>
      </c>
      <c r="N37" s="2"/>
      <c r="O37" s="2"/>
      <c r="P37" s="2"/>
      <c r="Q37" s="2"/>
      <c r="R37" s="2" t="n">
        <f aca="false">P37*Q37</f>
        <v>0</v>
      </c>
      <c r="S37" s="2" t="str">
        <f aca="false">IF(R37&gt;=15,"Critical",IF(R37&gt;=9,"High",IF(R37&gt;=4,"Medium","Low")))</f>
        <v>Low</v>
      </c>
      <c r="T37" s="2"/>
      <c r="U37" s="2"/>
      <c r="V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 t="n">
        <f aca="false">J38*K38</f>
        <v>0</v>
      </c>
      <c r="M38" s="2" t="str">
        <f aca="false">IF(L38&gt;=15,"Critical",IF(L38&gt;=9,"High",IF(L38&gt;=4,"Medium","Low")))</f>
        <v>Low</v>
      </c>
      <c r="N38" s="2"/>
      <c r="O38" s="2"/>
      <c r="P38" s="2"/>
      <c r="Q38" s="2"/>
      <c r="R38" s="2" t="n">
        <f aca="false">P38*Q38</f>
        <v>0</v>
      </c>
      <c r="S38" s="2" t="str">
        <f aca="false">IF(R38&gt;=15,"Critical",IF(R38&gt;=9,"High",IF(R38&gt;=4,"Medium","Low")))</f>
        <v>Low</v>
      </c>
      <c r="T38" s="2"/>
      <c r="U38" s="2"/>
      <c r="V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 t="n">
        <f aca="false">J39*K39</f>
        <v>0</v>
      </c>
      <c r="M39" s="2" t="str">
        <f aca="false">IF(L39&gt;=15,"Critical",IF(L39&gt;=9,"High",IF(L39&gt;=4,"Medium","Low")))</f>
        <v>Low</v>
      </c>
      <c r="N39" s="2"/>
      <c r="O39" s="2"/>
      <c r="P39" s="2"/>
      <c r="Q39" s="2"/>
      <c r="R39" s="2" t="n">
        <f aca="false">P39*Q39</f>
        <v>0</v>
      </c>
      <c r="S39" s="2" t="str">
        <f aca="false">IF(R39&gt;=15,"Critical",IF(R39&gt;=9,"High",IF(R39&gt;=4,"Medium","Low")))</f>
        <v>Low</v>
      </c>
      <c r="T39" s="2"/>
      <c r="U39" s="2"/>
      <c r="V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 t="n">
        <f aca="false">J40*K40</f>
        <v>0</v>
      </c>
      <c r="M40" s="2" t="str">
        <f aca="false">IF(L40&gt;=15,"Critical",IF(L40&gt;=9,"High",IF(L40&gt;=4,"Medium","Low")))</f>
        <v>Low</v>
      </c>
      <c r="N40" s="2"/>
      <c r="O40" s="2"/>
      <c r="P40" s="2"/>
      <c r="Q40" s="2"/>
      <c r="R40" s="2" t="n">
        <f aca="false">P40*Q40</f>
        <v>0</v>
      </c>
      <c r="S40" s="2" t="str">
        <f aca="false">IF(R40&gt;=15,"Critical",IF(R40&gt;=9,"High",IF(R40&gt;=4,"Medium","Low")))</f>
        <v>Low</v>
      </c>
      <c r="T40" s="2"/>
      <c r="U40" s="2"/>
      <c r="V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 t="n">
        <f aca="false">J41*K41</f>
        <v>0</v>
      </c>
      <c r="M41" s="2" t="str">
        <f aca="false">IF(L41&gt;=15,"Critical",IF(L41&gt;=9,"High",IF(L41&gt;=4,"Medium","Low")))</f>
        <v>Low</v>
      </c>
      <c r="N41" s="2"/>
      <c r="O41" s="2"/>
      <c r="P41" s="2"/>
      <c r="Q41" s="2"/>
      <c r="R41" s="2" t="n">
        <f aca="false">P41*Q41</f>
        <v>0</v>
      </c>
      <c r="S41" s="2" t="str">
        <f aca="false">IF(R41&gt;=15,"Critical",IF(R41&gt;=9,"High",IF(R41&gt;=4,"Medium","Low")))</f>
        <v>Low</v>
      </c>
      <c r="T41" s="2"/>
      <c r="U41" s="2"/>
      <c r="V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 t="n">
        <f aca="false">J42*K42</f>
        <v>0</v>
      </c>
      <c r="M42" s="2" t="str">
        <f aca="false">IF(L42&gt;=15,"Critical",IF(L42&gt;=9,"High",IF(L42&gt;=4,"Medium","Low")))</f>
        <v>Low</v>
      </c>
      <c r="N42" s="2"/>
      <c r="O42" s="2"/>
      <c r="P42" s="2"/>
      <c r="Q42" s="2"/>
      <c r="R42" s="2" t="n">
        <f aca="false">P42*Q42</f>
        <v>0</v>
      </c>
      <c r="S42" s="2" t="str">
        <f aca="false">IF(R42&gt;=15,"Critical",IF(R42&gt;=9,"High",IF(R42&gt;=4,"Medium","Low")))</f>
        <v>Low</v>
      </c>
      <c r="T42" s="2"/>
      <c r="U42" s="2"/>
      <c r="V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 t="n">
        <f aca="false">J43*K43</f>
        <v>0</v>
      </c>
      <c r="M43" s="2" t="str">
        <f aca="false">IF(L43&gt;=15,"Critical",IF(L43&gt;=9,"High",IF(L43&gt;=4,"Medium","Low")))</f>
        <v>Low</v>
      </c>
      <c r="N43" s="2"/>
      <c r="O43" s="2"/>
      <c r="P43" s="2"/>
      <c r="Q43" s="2"/>
      <c r="R43" s="2" t="n">
        <f aca="false">P43*Q43</f>
        <v>0</v>
      </c>
      <c r="S43" s="2" t="str">
        <f aca="false">IF(R43&gt;=15,"Critical",IF(R43&gt;=9,"High",IF(R43&gt;=4,"Medium","Low")))</f>
        <v>Low</v>
      </c>
      <c r="T43" s="2"/>
      <c r="U43" s="2"/>
      <c r="V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 t="n">
        <f aca="false">J44*K44</f>
        <v>0</v>
      </c>
      <c r="M44" s="2" t="str">
        <f aca="false">IF(L44&gt;=15,"Critical",IF(L44&gt;=9,"High",IF(L44&gt;=4,"Medium","Low")))</f>
        <v>Low</v>
      </c>
      <c r="N44" s="2"/>
      <c r="O44" s="2"/>
      <c r="P44" s="2"/>
      <c r="Q44" s="2"/>
      <c r="R44" s="2" t="n">
        <f aca="false">P44*Q44</f>
        <v>0</v>
      </c>
      <c r="S44" s="2" t="str">
        <f aca="false">IF(R44&gt;=15,"Critical",IF(R44&gt;=9,"High",IF(R44&gt;=4,"Medium","Low")))</f>
        <v>Low</v>
      </c>
      <c r="T44" s="2"/>
      <c r="U44" s="2"/>
      <c r="V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 t="n">
        <f aca="false">J45*K45</f>
        <v>0</v>
      </c>
      <c r="M45" s="2" t="str">
        <f aca="false">IF(L45&gt;=15,"Critical",IF(L45&gt;=9,"High",IF(L45&gt;=4,"Medium","Low")))</f>
        <v>Low</v>
      </c>
      <c r="N45" s="2"/>
      <c r="O45" s="2"/>
      <c r="P45" s="2"/>
      <c r="Q45" s="2"/>
      <c r="R45" s="2" t="n">
        <f aca="false">P45*Q45</f>
        <v>0</v>
      </c>
      <c r="S45" s="2" t="str">
        <f aca="false">IF(R45&gt;=15,"Critical",IF(R45&gt;=9,"High",IF(R45&gt;=4,"Medium","Low")))</f>
        <v>Low</v>
      </c>
      <c r="T45" s="2"/>
      <c r="U45" s="2"/>
      <c r="V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 t="n">
        <f aca="false">J46*K46</f>
        <v>0</v>
      </c>
      <c r="M46" s="2" t="str">
        <f aca="false">IF(L46&gt;=15,"Critical",IF(L46&gt;=9,"High",IF(L46&gt;=4,"Medium","Low")))</f>
        <v>Low</v>
      </c>
      <c r="N46" s="2"/>
      <c r="O46" s="2"/>
      <c r="P46" s="2"/>
      <c r="Q46" s="2"/>
      <c r="R46" s="2" t="n">
        <f aca="false">P46*Q46</f>
        <v>0</v>
      </c>
      <c r="S46" s="2" t="str">
        <f aca="false">IF(R46&gt;=15,"Critical",IF(R46&gt;=9,"High",IF(R46&gt;=4,"Medium","Low")))</f>
        <v>Low</v>
      </c>
      <c r="T46" s="2"/>
      <c r="U46" s="2"/>
      <c r="V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 t="n">
        <f aca="false">J47*K47</f>
        <v>0</v>
      </c>
      <c r="M47" s="2" t="str">
        <f aca="false">IF(L47&gt;=15,"Critical",IF(L47&gt;=9,"High",IF(L47&gt;=4,"Medium","Low")))</f>
        <v>Low</v>
      </c>
      <c r="N47" s="2"/>
      <c r="O47" s="2"/>
      <c r="P47" s="2"/>
      <c r="Q47" s="2"/>
      <c r="R47" s="2" t="n">
        <f aca="false">P47*Q47</f>
        <v>0</v>
      </c>
      <c r="S47" s="2" t="str">
        <f aca="false">IF(R47&gt;=15,"Critical",IF(R47&gt;=9,"High",IF(R47&gt;=4,"Medium","Low")))</f>
        <v>Low</v>
      </c>
      <c r="T47" s="2"/>
      <c r="U47" s="2"/>
      <c r="V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 t="n">
        <f aca="false">J48*K48</f>
        <v>0</v>
      </c>
      <c r="M48" s="2" t="str">
        <f aca="false">IF(L48&gt;=15,"Critical",IF(L48&gt;=9,"High",IF(L48&gt;=4,"Medium","Low")))</f>
        <v>Low</v>
      </c>
      <c r="N48" s="2"/>
      <c r="O48" s="2"/>
      <c r="P48" s="2"/>
      <c r="Q48" s="2"/>
      <c r="R48" s="2" t="n">
        <f aca="false">P48*Q48</f>
        <v>0</v>
      </c>
      <c r="S48" s="2" t="str">
        <f aca="false">IF(R48&gt;=15,"Critical",IF(R48&gt;=9,"High",IF(R48&gt;=4,"Medium","Low")))</f>
        <v>Low</v>
      </c>
      <c r="T48" s="2"/>
      <c r="U48" s="2"/>
      <c r="V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 t="n">
        <f aca="false">J49*K49</f>
        <v>0</v>
      </c>
      <c r="M49" s="2" t="str">
        <f aca="false">IF(L49&gt;=15,"Critical",IF(L49&gt;=9,"High",IF(L49&gt;=4,"Medium","Low")))</f>
        <v>Low</v>
      </c>
      <c r="N49" s="2"/>
      <c r="O49" s="2"/>
      <c r="P49" s="2"/>
      <c r="Q49" s="2"/>
      <c r="R49" s="2" t="n">
        <f aca="false">P49*Q49</f>
        <v>0</v>
      </c>
      <c r="S49" s="2" t="str">
        <f aca="false">IF(R49&gt;=15,"Critical",IF(R49&gt;=9,"High",IF(R49&gt;=4,"Medium","Low")))</f>
        <v>Low</v>
      </c>
      <c r="T49" s="2"/>
      <c r="U49" s="2"/>
      <c r="V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 t="n">
        <f aca="false">J50*K50</f>
        <v>0</v>
      </c>
      <c r="M50" s="2" t="str">
        <f aca="false">IF(L50&gt;=15,"Critical",IF(L50&gt;=9,"High",IF(L50&gt;=4,"Medium","Low")))</f>
        <v>Low</v>
      </c>
      <c r="N50" s="2"/>
      <c r="O50" s="2"/>
      <c r="P50" s="2"/>
      <c r="Q50" s="2"/>
      <c r="R50" s="2" t="n">
        <f aca="false">P50*Q50</f>
        <v>0</v>
      </c>
      <c r="S50" s="2" t="str">
        <f aca="false">IF(R50&gt;=15,"Critical",IF(R50&gt;=9,"High",IF(R50&gt;=4,"Medium","Low")))</f>
        <v>Low</v>
      </c>
      <c r="T50" s="2"/>
      <c r="U50" s="2"/>
      <c r="V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 t="n">
        <f aca="false">J51*K51</f>
        <v>0</v>
      </c>
      <c r="M51" s="2" t="str">
        <f aca="false">IF(L51&gt;=15,"Critical",IF(L51&gt;=9,"High",IF(L51&gt;=4,"Medium","Low")))</f>
        <v>Low</v>
      </c>
      <c r="N51" s="2"/>
      <c r="O51" s="2"/>
      <c r="P51" s="2"/>
      <c r="Q51" s="2"/>
      <c r="R51" s="2" t="n">
        <f aca="false">P51*Q51</f>
        <v>0</v>
      </c>
      <c r="S51" s="2" t="str">
        <f aca="false">IF(R51&gt;=15,"Critical",IF(R51&gt;=9,"High",IF(R51&gt;=4,"Medium","Low")))</f>
        <v>Low</v>
      </c>
      <c r="T51" s="2"/>
      <c r="U51" s="2"/>
      <c r="V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 t="n">
        <f aca="false">J52*K52</f>
        <v>0</v>
      </c>
      <c r="M52" s="2" t="str">
        <f aca="false">IF(L52&gt;=15,"Critical",IF(L52&gt;=9,"High",IF(L52&gt;=4,"Medium","Low")))</f>
        <v>Low</v>
      </c>
      <c r="N52" s="2"/>
      <c r="O52" s="2"/>
      <c r="P52" s="2"/>
      <c r="Q52" s="2"/>
      <c r="R52" s="2" t="n">
        <f aca="false">P52*Q52</f>
        <v>0</v>
      </c>
      <c r="S52" s="2" t="str">
        <f aca="false">IF(R52&gt;=15,"Critical",IF(R52&gt;=9,"High",IF(R52&gt;=4,"Medium","Low")))</f>
        <v>Low</v>
      </c>
      <c r="T52" s="2"/>
      <c r="U52" s="2"/>
      <c r="V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 t="n">
        <f aca="false">J53*K53</f>
        <v>0</v>
      </c>
      <c r="M53" s="2" t="str">
        <f aca="false">IF(L53&gt;=15,"Critical",IF(L53&gt;=9,"High",IF(L53&gt;=4,"Medium","Low")))</f>
        <v>Low</v>
      </c>
      <c r="N53" s="2"/>
      <c r="O53" s="2"/>
      <c r="P53" s="2"/>
      <c r="Q53" s="2"/>
      <c r="R53" s="2" t="n">
        <f aca="false">P53*Q53</f>
        <v>0</v>
      </c>
      <c r="S53" s="2" t="str">
        <f aca="false">IF(R53&gt;=15,"Critical",IF(R53&gt;=9,"High",IF(R53&gt;=4,"Medium","Low")))</f>
        <v>Low</v>
      </c>
      <c r="T53" s="2"/>
      <c r="U53" s="2"/>
      <c r="V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 t="n">
        <f aca="false">J54*K54</f>
        <v>0</v>
      </c>
      <c r="M54" s="2" t="str">
        <f aca="false">IF(L54&gt;=15,"Critical",IF(L54&gt;=9,"High",IF(L54&gt;=4,"Medium","Low")))</f>
        <v>Low</v>
      </c>
      <c r="N54" s="2"/>
      <c r="O54" s="2"/>
      <c r="P54" s="2"/>
      <c r="Q54" s="2"/>
      <c r="R54" s="2" t="n">
        <f aca="false">P54*Q54</f>
        <v>0</v>
      </c>
      <c r="S54" s="2" t="str">
        <f aca="false">IF(R54&gt;=15,"Critical",IF(R54&gt;=9,"High",IF(R54&gt;=4,"Medium","Low")))</f>
        <v>Low</v>
      </c>
      <c r="T54" s="2"/>
      <c r="U54" s="2"/>
      <c r="V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 t="n">
        <f aca="false">J55*K55</f>
        <v>0</v>
      </c>
      <c r="M55" s="2" t="str">
        <f aca="false">IF(L55&gt;=15,"Critical",IF(L55&gt;=9,"High",IF(L55&gt;=4,"Medium","Low")))</f>
        <v>Low</v>
      </c>
      <c r="N55" s="2"/>
      <c r="O55" s="2"/>
      <c r="P55" s="2"/>
      <c r="Q55" s="2"/>
      <c r="R55" s="2" t="n">
        <f aca="false">P55*Q55</f>
        <v>0</v>
      </c>
      <c r="S55" s="2" t="str">
        <f aca="false">IF(R55&gt;=15,"Critical",IF(R55&gt;=9,"High",IF(R55&gt;=4,"Medium","Low")))</f>
        <v>Low</v>
      </c>
      <c r="T55" s="2"/>
      <c r="U55" s="2"/>
      <c r="V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 t="n">
        <f aca="false">J56*K56</f>
        <v>0</v>
      </c>
      <c r="M56" s="2" t="str">
        <f aca="false">IF(L56&gt;=15,"Critical",IF(L56&gt;=9,"High",IF(L56&gt;=4,"Medium","Low")))</f>
        <v>Low</v>
      </c>
      <c r="N56" s="2"/>
      <c r="O56" s="2"/>
      <c r="P56" s="2"/>
      <c r="Q56" s="2"/>
      <c r="R56" s="2" t="n">
        <f aca="false">P56*Q56</f>
        <v>0</v>
      </c>
      <c r="S56" s="2" t="str">
        <f aca="false">IF(R56&gt;=15,"Critical",IF(R56&gt;=9,"High",IF(R56&gt;=4,"Medium","Low")))</f>
        <v>Low</v>
      </c>
      <c r="T56" s="2"/>
      <c r="U56" s="2"/>
      <c r="V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 t="n">
        <f aca="false">J57*K57</f>
        <v>0</v>
      </c>
      <c r="M57" s="2" t="str">
        <f aca="false">IF(L57&gt;=15,"Critical",IF(L57&gt;=9,"High",IF(L57&gt;=4,"Medium","Low")))</f>
        <v>Low</v>
      </c>
      <c r="N57" s="2"/>
      <c r="O57" s="2"/>
      <c r="P57" s="2"/>
      <c r="Q57" s="2"/>
      <c r="R57" s="2" t="n">
        <f aca="false">P57*Q57</f>
        <v>0</v>
      </c>
      <c r="S57" s="2" t="str">
        <f aca="false">IF(R57&gt;=15,"Critical",IF(R57&gt;=9,"High",IF(R57&gt;=4,"Medium","Low")))</f>
        <v>Low</v>
      </c>
      <c r="T57" s="2"/>
      <c r="U57" s="2"/>
      <c r="V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 t="n">
        <f aca="false">J58*K58</f>
        <v>0</v>
      </c>
      <c r="M58" s="2" t="str">
        <f aca="false">IF(L58&gt;=15,"Critical",IF(L58&gt;=9,"High",IF(L58&gt;=4,"Medium","Low")))</f>
        <v>Low</v>
      </c>
      <c r="N58" s="2"/>
      <c r="O58" s="2"/>
      <c r="P58" s="2"/>
      <c r="Q58" s="2"/>
      <c r="R58" s="2" t="n">
        <f aca="false">P58*Q58</f>
        <v>0</v>
      </c>
      <c r="S58" s="2" t="str">
        <f aca="false">IF(R58&gt;=15,"Critical",IF(R58&gt;=9,"High",IF(R58&gt;=4,"Medium","Low")))</f>
        <v>Low</v>
      </c>
      <c r="T58" s="2"/>
      <c r="U58" s="2"/>
      <c r="V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 t="n">
        <f aca="false">J59*K59</f>
        <v>0</v>
      </c>
      <c r="M59" s="2" t="str">
        <f aca="false">IF(L59&gt;=15,"Critical",IF(L59&gt;=9,"High",IF(L59&gt;=4,"Medium","Low")))</f>
        <v>Low</v>
      </c>
      <c r="N59" s="2"/>
      <c r="O59" s="2"/>
      <c r="P59" s="2"/>
      <c r="Q59" s="2"/>
      <c r="R59" s="2" t="n">
        <f aca="false">P59*Q59</f>
        <v>0</v>
      </c>
      <c r="S59" s="2" t="str">
        <f aca="false">IF(R59&gt;=15,"Critical",IF(R59&gt;=9,"High",IF(R59&gt;=4,"Medium","Low")))</f>
        <v>Low</v>
      </c>
      <c r="T59" s="2"/>
      <c r="U59" s="2"/>
      <c r="V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 t="n">
        <f aca="false">J60*K60</f>
        <v>0</v>
      </c>
      <c r="M60" s="2" t="str">
        <f aca="false">IF(L60&gt;=15,"Critical",IF(L60&gt;=9,"High",IF(L60&gt;=4,"Medium","Low")))</f>
        <v>Low</v>
      </c>
      <c r="N60" s="2"/>
      <c r="O60" s="2"/>
      <c r="P60" s="2"/>
      <c r="Q60" s="2"/>
      <c r="R60" s="2" t="n">
        <f aca="false">P60*Q60</f>
        <v>0</v>
      </c>
      <c r="S60" s="2" t="str">
        <f aca="false">IF(R60&gt;=15,"Critical",IF(R60&gt;=9,"High",IF(R60&gt;=4,"Medium","Low")))</f>
        <v>Low</v>
      </c>
      <c r="T60" s="2"/>
      <c r="U60" s="2"/>
      <c r="V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 t="n">
        <f aca="false">J61*K61</f>
        <v>0</v>
      </c>
      <c r="M61" s="2" t="str">
        <f aca="false">IF(L61&gt;=15,"Critical",IF(L61&gt;=9,"High",IF(L61&gt;=4,"Medium","Low")))</f>
        <v>Low</v>
      </c>
      <c r="N61" s="2"/>
      <c r="O61" s="2"/>
      <c r="P61" s="2"/>
      <c r="Q61" s="2"/>
      <c r="R61" s="2" t="n">
        <f aca="false">P61*Q61</f>
        <v>0</v>
      </c>
      <c r="S61" s="2" t="str">
        <f aca="false">IF(R61&gt;=15,"Critical",IF(R61&gt;=9,"High",IF(R61&gt;=4,"Medium","Low")))</f>
        <v>Low</v>
      </c>
      <c r="T61" s="2"/>
      <c r="U61" s="2"/>
      <c r="V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 t="n">
        <f aca="false">J62*K62</f>
        <v>0</v>
      </c>
      <c r="M62" s="2" t="str">
        <f aca="false">IF(L62&gt;=15,"Critical",IF(L62&gt;=9,"High",IF(L62&gt;=4,"Medium","Low")))</f>
        <v>Low</v>
      </c>
      <c r="N62" s="2"/>
      <c r="O62" s="2"/>
      <c r="P62" s="2"/>
      <c r="Q62" s="2"/>
      <c r="R62" s="2" t="n">
        <f aca="false">P62*Q62</f>
        <v>0</v>
      </c>
      <c r="S62" s="2" t="str">
        <f aca="false">IF(R62&gt;=15,"Critical",IF(R62&gt;=9,"High",IF(R62&gt;=4,"Medium","Low")))</f>
        <v>Low</v>
      </c>
      <c r="T62" s="2"/>
      <c r="U62" s="2"/>
      <c r="V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 t="n">
        <f aca="false">J63*K63</f>
        <v>0</v>
      </c>
      <c r="M63" s="2" t="str">
        <f aca="false">IF(L63&gt;=15,"Critical",IF(L63&gt;=9,"High",IF(L63&gt;=4,"Medium","Low")))</f>
        <v>Low</v>
      </c>
      <c r="N63" s="2"/>
      <c r="O63" s="2"/>
      <c r="P63" s="2"/>
      <c r="Q63" s="2"/>
      <c r="R63" s="2" t="n">
        <f aca="false">P63*Q63</f>
        <v>0</v>
      </c>
      <c r="S63" s="2" t="str">
        <f aca="false">IF(R63&gt;=15,"Critical",IF(R63&gt;=9,"High",IF(R63&gt;=4,"Medium","Low")))</f>
        <v>Low</v>
      </c>
      <c r="T63" s="2"/>
      <c r="U63" s="2"/>
      <c r="V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 t="n">
        <f aca="false">J64*K64</f>
        <v>0</v>
      </c>
      <c r="M64" s="2" t="str">
        <f aca="false">IF(L64&gt;=15,"Critical",IF(L64&gt;=9,"High",IF(L64&gt;=4,"Medium","Low")))</f>
        <v>Low</v>
      </c>
      <c r="N64" s="2"/>
      <c r="O64" s="2"/>
      <c r="P64" s="2"/>
      <c r="Q64" s="2"/>
      <c r="R64" s="2" t="n">
        <f aca="false">P64*Q64</f>
        <v>0</v>
      </c>
      <c r="S64" s="2" t="str">
        <f aca="false">IF(R64&gt;=15,"Critical",IF(R64&gt;=9,"High",IF(R64&gt;=4,"Medium","Low")))</f>
        <v>Low</v>
      </c>
      <c r="T64" s="2"/>
      <c r="U64" s="2"/>
      <c r="V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 t="n">
        <f aca="false">J65*K65</f>
        <v>0</v>
      </c>
      <c r="M65" s="2" t="str">
        <f aca="false">IF(L65&gt;=15,"Critical",IF(L65&gt;=9,"High",IF(L65&gt;=4,"Medium","Low")))</f>
        <v>Low</v>
      </c>
      <c r="N65" s="2"/>
      <c r="O65" s="2"/>
      <c r="P65" s="2"/>
      <c r="Q65" s="2"/>
      <c r="R65" s="2" t="n">
        <f aca="false">P65*Q65</f>
        <v>0</v>
      </c>
      <c r="S65" s="2" t="str">
        <f aca="false">IF(R65&gt;=15,"Critical",IF(R65&gt;=9,"High",IF(R65&gt;=4,"Medium","Low")))</f>
        <v>Low</v>
      </c>
      <c r="T65" s="2"/>
      <c r="U65" s="2"/>
      <c r="V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 t="n">
        <f aca="false">J66*K66</f>
        <v>0</v>
      </c>
      <c r="M66" s="2" t="str">
        <f aca="false">IF(L66&gt;=15,"Critical",IF(L66&gt;=9,"High",IF(L66&gt;=4,"Medium","Low")))</f>
        <v>Low</v>
      </c>
      <c r="N66" s="2"/>
      <c r="O66" s="2"/>
      <c r="P66" s="2"/>
      <c r="Q66" s="2"/>
      <c r="R66" s="2" t="n">
        <f aca="false">P66*Q66</f>
        <v>0</v>
      </c>
      <c r="S66" s="2" t="str">
        <f aca="false">IF(R66&gt;=15,"Critical",IF(R66&gt;=9,"High",IF(R66&gt;=4,"Medium","Low")))</f>
        <v>Low</v>
      </c>
      <c r="T66" s="2"/>
      <c r="U66" s="2"/>
      <c r="V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 t="n">
        <f aca="false">J67*K67</f>
        <v>0</v>
      </c>
      <c r="M67" s="2" t="str">
        <f aca="false">IF(L67&gt;=15,"Critical",IF(L67&gt;=9,"High",IF(L67&gt;=4,"Medium","Low")))</f>
        <v>Low</v>
      </c>
      <c r="N67" s="2"/>
      <c r="O67" s="2"/>
      <c r="P67" s="2"/>
      <c r="Q67" s="2"/>
      <c r="R67" s="2" t="n">
        <f aca="false">P67*Q67</f>
        <v>0</v>
      </c>
      <c r="S67" s="2" t="str">
        <f aca="false">IF(R67&gt;=15,"Critical",IF(R67&gt;=9,"High",IF(R67&gt;=4,"Medium","Low")))</f>
        <v>Low</v>
      </c>
      <c r="T67" s="2"/>
      <c r="U67" s="2"/>
      <c r="V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 t="n">
        <f aca="false">J68*K68</f>
        <v>0</v>
      </c>
      <c r="M68" s="2" t="str">
        <f aca="false">IF(L68&gt;=15,"Critical",IF(L68&gt;=9,"High",IF(L68&gt;=4,"Medium","Low")))</f>
        <v>Low</v>
      </c>
      <c r="N68" s="2"/>
      <c r="O68" s="2"/>
      <c r="P68" s="2"/>
      <c r="Q68" s="2"/>
      <c r="R68" s="2" t="n">
        <f aca="false">P68*Q68</f>
        <v>0</v>
      </c>
      <c r="S68" s="2" t="str">
        <f aca="false">IF(R68&gt;=15,"Critical",IF(R68&gt;=9,"High",IF(R68&gt;=4,"Medium","Low")))</f>
        <v>Low</v>
      </c>
      <c r="T68" s="2"/>
      <c r="U68" s="2"/>
      <c r="V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 t="n">
        <f aca="false">J69*K69</f>
        <v>0</v>
      </c>
      <c r="M69" s="2" t="str">
        <f aca="false">IF(L69&gt;=15,"Critical",IF(L69&gt;=9,"High",IF(L69&gt;=4,"Medium","Low")))</f>
        <v>Low</v>
      </c>
      <c r="N69" s="2"/>
      <c r="O69" s="2"/>
      <c r="P69" s="2"/>
      <c r="Q69" s="2"/>
      <c r="R69" s="2" t="n">
        <f aca="false">P69*Q69</f>
        <v>0</v>
      </c>
      <c r="S69" s="2" t="str">
        <f aca="false">IF(R69&gt;=15,"Critical",IF(R69&gt;=9,"High",IF(R69&gt;=4,"Medium","Low")))</f>
        <v>Low</v>
      </c>
      <c r="T69" s="2"/>
      <c r="U69" s="2"/>
      <c r="V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 t="n">
        <f aca="false">J70*K70</f>
        <v>0</v>
      </c>
      <c r="M70" s="2" t="str">
        <f aca="false">IF(L70&gt;=15,"Critical",IF(L70&gt;=9,"High",IF(L70&gt;=4,"Medium","Low")))</f>
        <v>Low</v>
      </c>
      <c r="N70" s="2"/>
      <c r="O70" s="2"/>
      <c r="P70" s="2"/>
      <c r="Q70" s="2"/>
      <c r="R70" s="2" t="n">
        <f aca="false">P70*Q70</f>
        <v>0</v>
      </c>
      <c r="S70" s="2" t="str">
        <f aca="false">IF(R70&gt;=15,"Critical",IF(R70&gt;=9,"High",IF(R70&gt;=4,"Medium","Low")))</f>
        <v>Low</v>
      </c>
      <c r="T70" s="2"/>
      <c r="U70" s="2"/>
      <c r="V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 t="n">
        <f aca="false">J71*K71</f>
        <v>0</v>
      </c>
      <c r="M71" s="2" t="str">
        <f aca="false">IF(L71&gt;=15,"Critical",IF(L71&gt;=9,"High",IF(L71&gt;=4,"Medium","Low")))</f>
        <v>Low</v>
      </c>
      <c r="N71" s="2"/>
      <c r="O71" s="2"/>
      <c r="P71" s="2"/>
      <c r="Q71" s="2"/>
      <c r="R71" s="2" t="n">
        <f aca="false">P71*Q71</f>
        <v>0</v>
      </c>
      <c r="S71" s="2" t="str">
        <f aca="false">IF(R71&gt;=15,"Critical",IF(R71&gt;=9,"High",IF(R71&gt;=4,"Medium","Low")))</f>
        <v>Low</v>
      </c>
      <c r="T71" s="2"/>
      <c r="U71" s="2"/>
      <c r="V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 t="n">
        <f aca="false">J72*K72</f>
        <v>0</v>
      </c>
      <c r="M72" s="2" t="str">
        <f aca="false">IF(L72&gt;=15,"Critical",IF(L72&gt;=9,"High",IF(L72&gt;=4,"Medium","Low")))</f>
        <v>Low</v>
      </c>
      <c r="N72" s="2"/>
      <c r="O72" s="2"/>
      <c r="P72" s="2"/>
      <c r="Q72" s="2"/>
      <c r="R72" s="2" t="n">
        <f aca="false">P72*Q72</f>
        <v>0</v>
      </c>
      <c r="S72" s="2" t="str">
        <f aca="false">IF(R72&gt;=15,"Critical",IF(R72&gt;=9,"High",IF(R72&gt;=4,"Medium","Low")))</f>
        <v>Low</v>
      </c>
      <c r="T72" s="2"/>
      <c r="U72" s="2"/>
      <c r="V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 t="n">
        <f aca="false">J73*K73</f>
        <v>0</v>
      </c>
      <c r="M73" s="2" t="str">
        <f aca="false">IF(L73&gt;=15,"Critical",IF(L73&gt;=9,"High",IF(L73&gt;=4,"Medium","Low")))</f>
        <v>Low</v>
      </c>
      <c r="N73" s="2"/>
      <c r="O73" s="2"/>
      <c r="P73" s="2"/>
      <c r="Q73" s="2"/>
      <c r="R73" s="2" t="n">
        <f aca="false">P73*Q73</f>
        <v>0</v>
      </c>
      <c r="S73" s="2" t="str">
        <f aca="false">IF(R73&gt;=15,"Critical",IF(R73&gt;=9,"High",IF(R73&gt;=4,"Medium","Low")))</f>
        <v>Low</v>
      </c>
      <c r="T73" s="2"/>
      <c r="U73" s="2"/>
      <c r="V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 t="n">
        <f aca="false">J74*K74</f>
        <v>0</v>
      </c>
      <c r="M74" s="2" t="str">
        <f aca="false">IF(L74&gt;=15,"Critical",IF(L74&gt;=9,"High",IF(L74&gt;=4,"Medium","Low")))</f>
        <v>Low</v>
      </c>
      <c r="N74" s="2"/>
      <c r="O74" s="2"/>
      <c r="P74" s="2"/>
      <c r="Q74" s="2"/>
      <c r="R74" s="2" t="n">
        <f aca="false">P74*Q74</f>
        <v>0</v>
      </c>
      <c r="S74" s="2" t="str">
        <f aca="false">IF(R74&gt;=15,"Critical",IF(R74&gt;=9,"High",IF(R74&gt;=4,"Medium","Low")))</f>
        <v>Low</v>
      </c>
      <c r="T74" s="2"/>
      <c r="U74" s="2"/>
      <c r="V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 t="n">
        <f aca="false">J75*K75</f>
        <v>0</v>
      </c>
      <c r="M75" s="2" t="str">
        <f aca="false">IF(L75&gt;=15,"Critical",IF(L75&gt;=9,"High",IF(L75&gt;=4,"Medium","Low")))</f>
        <v>Low</v>
      </c>
      <c r="N75" s="2"/>
      <c r="O75" s="2"/>
      <c r="P75" s="2"/>
      <c r="Q75" s="2"/>
      <c r="R75" s="2" t="n">
        <f aca="false">P75*Q75</f>
        <v>0</v>
      </c>
      <c r="S75" s="2" t="str">
        <f aca="false">IF(R75&gt;=15,"Critical",IF(R75&gt;=9,"High",IF(R75&gt;=4,"Medium","Low")))</f>
        <v>Low</v>
      </c>
      <c r="T75" s="2"/>
      <c r="U75" s="2"/>
      <c r="V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 t="n">
        <f aca="false">J76*K76</f>
        <v>0</v>
      </c>
      <c r="M76" s="2" t="str">
        <f aca="false">IF(L76&gt;=15,"Critical",IF(L76&gt;=9,"High",IF(L76&gt;=4,"Medium","Low")))</f>
        <v>Low</v>
      </c>
      <c r="N76" s="2"/>
      <c r="O76" s="2"/>
      <c r="P76" s="2"/>
      <c r="Q76" s="2"/>
      <c r="R76" s="2" t="n">
        <f aca="false">P76*Q76</f>
        <v>0</v>
      </c>
      <c r="S76" s="2" t="str">
        <f aca="false">IF(R76&gt;=15,"Critical",IF(R76&gt;=9,"High",IF(R76&gt;=4,"Medium","Low")))</f>
        <v>Low</v>
      </c>
      <c r="T76" s="2"/>
      <c r="U76" s="2"/>
      <c r="V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 t="n">
        <f aca="false">J77*K77</f>
        <v>0</v>
      </c>
      <c r="M77" s="2" t="str">
        <f aca="false">IF(L77&gt;=15,"Critical",IF(L77&gt;=9,"High",IF(L77&gt;=4,"Medium","Low")))</f>
        <v>Low</v>
      </c>
      <c r="N77" s="2"/>
      <c r="O77" s="2"/>
      <c r="P77" s="2"/>
      <c r="Q77" s="2"/>
      <c r="R77" s="2" t="n">
        <f aca="false">P77*Q77</f>
        <v>0</v>
      </c>
      <c r="S77" s="2" t="str">
        <f aca="false">IF(R77&gt;=15,"Critical",IF(R77&gt;=9,"High",IF(R77&gt;=4,"Medium","Low")))</f>
        <v>Low</v>
      </c>
      <c r="T77" s="2"/>
      <c r="U77" s="2"/>
      <c r="V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 t="n">
        <f aca="false">J78*K78</f>
        <v>0</v>
      </c>
      <c r="M78" s="2" t="str">
        <f aca="false">IF(L78&gt;=15,"Critical",IF(L78&gt;=9,"High",IF(L78&gt;=4,"Medium","Low")))</f>
        <v>Low</v>
      </c>
      <c r="N78" s="2"/>
      <c r="O78" s="2"/>
      <c r="P78" s="2"/>
      <c r="Q78" s="2"/>
      <c r="R78" s="2" t="n">
        <f aca="false">P78*Q78</f>
        <v>0</v>
      </c>
      <c r="S78" s="2" t="str">
        <f aca="false">IF(R78&gt;=15,"Critical",IF(R78&gt;=9,"High",IF(R78&gt;=4,"Medium","Low")))</f>
        <v>Low</v>
      </c>
      <c r="T78" s="2"/>
      <c r="U78" s="2"/>
      <c r="V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 t="n">
        <f aca="false">J79*K79</f>
        <v>0</v>
      </c>
      <c r="M79" s="2" t="str">
        <f aca="false">IF(L79&gt;=15,"Critical",IF(L79&gt;=9,"High",IF(L79&gt;=4,"Medium","Low")))</f>
        <v>Low</v>
      </c>
      <c r="N79" s="2"/>
      <c r="O79" s="2"/>
      <c r="P79" s="2"/>
      <c r="Q79" s="2"/>
      <c r="R79" s="2" t="n">
        <f aca="false">P79*Q79</f>
        <v>0</v>
      </c>
      <c r="S79" s="2" t="str">
        <f aca="false">IF(R79&gt;=15,"Critical",IF(R79&gt;=9,"High",IF(R79&gt;=4,"Medium","Low")))</f>
        <v>Low</v>
      </c>
      <c r="T79" s="2"/>
      <c r="U79" s="2"/>
      <c r="V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 t="n">
        <f aca="false">J80*K80</f>
        <v>0</v>
      </c>
      <c r="M80" s="2" t="str">
        <f aca="false">IF(L80&gt;=15,"Critical",IF(L80&gt;=9,"High",IF(L80&gt;=4,"Medium","Low")))</f>
        <v>Low</v>
      </c>
      <c r="N80" s="2"/>
      <c r="O80" s="2"/>
      <c r="P80" s="2"/>
      <c r="Q80" s="2"/>
      <c r="R80" s="2" t="n">
        <f aca="false">P80*Q80</f>
        <v>0</v>
      </c>
      <c r="S80" s="2" t="str">
        <f aca="false">IF(R80&gt;=15,"Critical",IF(R80&gt;=9,"High",IF(R80&gt;=4,"Medium","Low")))</f>
        <v>Low</v>
      </c>
      <c r="T80" s="2"/>
      <c r="U80" s="2"/>
      <c r="V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 t="n">
        <f aca="false">J81*K81</f>
        <v>0</v>
      </c>
      <c r="M81" s="2" t="str">
        <f aca="false">IF(L81&gt;=15,"Critical",IF(L81&gt;=9,"High",IF(L81&gt;=4,"Medium","Low")))</f>
        <v>Low</v>
      </c>
      <c r="N81" s="2"/>
      <c r="O81" s="2"/>
      <c r="P81" s="2"/>
      <c r="Q81" s="2"/>
      <c r="R81" s="2" t="n">
        <f aca="false">P81*Q81</f>
        <v>0</v>
      </c>
      <c r="S81" s="2" t="str">
        <f aca="false">IF(R81&gt;=15,"Critical",IF(R81&gt;=9,"High",IF(R81&gt;=4,"Medium","Low")))</f>
        <v>Low</v>
      </c>
      <c r="T81" s="2"/>
      <c r="U81" s="2"/>
      <c r="V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 t="n">
        <f aca="false">J82*K82</f>
        <v>0</v>
      </c>
      <c r="M82" s="2" t="str">
        <f aca="false">IF(L82&gt;=15,"Critical",IF(L82&gt;=9,"High",IF(L82&gt;=4,"Medium","Low")))</f>
        <v>Low</v>
      </c>
      <c r="N82" s="2"/>
      <c r="O82" s="2"/>
      <c r="P82" s="2"/>
      <c r="Q82" s="2"/>
      <c r="R82" s="2" t="n">
        <f aca="false">P82*Q82</f>
        <v>0</v>
      </c>
      <c r="S82" s="2" t="str">
        <f aca="false">IF(R82&gt;=15,"Critical",IF(R82&gt;=9,"High",IF(R82&gt;=4,"Medium","Low")))</f>
        <v>Low</v>
      </c>
      <c r="T82" s="2"/>
      <c r="U82" s="2"/>
      <c r="V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 t="n">
        <f aca="false">J83*K83</f>
        <v>0</v>
      </c>
      <c r="M83" s="2" t="str">
        <f aca="false">IF(L83&gt;=15,"Critical",IF(L83&gt;=9,"High",IF(L83&gt;=4,"Medium","Low")))</f>
        <v>Low</v>
      </c>
      <c r="N83" s="2"/>
      <c r="O83" s="2"/>
      <c r="P83" s="2"/>
      <c r="Q83" s="2"/>
      <c r="R83" s="2" t="n">
        <f aca="false">P83*Q83</f>
        <v>0</v>
      </c>
      <c r="S83" s="2" t="str">
        <f aca="false">IF(R83&gt;=15,"Critical",IF(R83&gt;=9,"High",IF(R83&gt;=4,"Medium","Low")))</f>
        <v>Low</v>
      </c>
      <c r="T83" s="2"/>
      <c r="U83" s="2"/>
      <c r="V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 t="n">
        <f aca="false">J84*K84</f>
        <v>0</v>
      </c>
      <c r="M84" s="2" t="str">
        <f aca="false">IF(L84&gt;=15,"Critical",IF(L84&gt;=9,"High",IF(L84&gt;=4,"Medium","Low")))</f>
        <v>Low</v>
      </c>
      <c r="N84" s="2"/>
      <c r="O84" s="2"/>
      <c r="P84" s="2"/>
      <c r="Q84" s="2"/>
      <c r="R84" s="2" t="n">
        <f aca="false">P84*Q84</f>
        <v>0</v>
      </c>
      <c r="S84" s="2" t="str">
        <f aca="false">IF(R84&gt;=15,"Critical",IF(R84&gt;=9,"High",IF(R84&gt;=4,"Medium","Low")))</f>
        <v>Low</v>
      </c>
      <c r="T84" s="2"/>
      <c r="U84" s="2"/>
      <c r="V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 t="n">
        <f aca="false">J85*K85</f>
        <v>0</v>
      </c>
      <c r="M85" s="2" t="str">
        <f aca="false">IF(L85&gt;=15,"Critical",IF(L85&gt;=9,"High",IF(L85&gt;=4,"Medium","Low")))</f>
        <v>Low</v>
      </c>
      <c r="N85" s="2"/>
      <c r="O85" s="2"/>
      <c r="P85" s="2"/>
      <c r="Q85" s="2"/>
      <c r="R85" s="2" t="n">
        <f aca="false">P85*Q85</f>
        <v>0</v>
      </c>
      <c r="S85" s="2" t="str">
        <f aca="false">IF(R85&gt;=15,"Critical",IF(R85&gt;=9,"High",IF(R85&gt;=4,"Medium","Low")))</f>
        <v>Low</v>
      </c>
      <c r="T85" s="2"/>
      <c r="U85" s="2"/>
      <c r="V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 t="n">
        <f aca="false">J86*K86</f>
        <v>0</v>
      </c>
      <c r="M86" s="2" t="str">
        <f aca="false">IF(L86&gt;=15,"Critical",IF(L86&gt;=9,"High",IF(L86&gt;=4,"Medium","Low")))</f>
        <v>Low</v>
      </c>
      <c r="N86" s="2"/>
      <c r="O86" s="2"/>
      <c r="P86" s="2"/>
      <c r="Q86" s="2"/>
      <c r="R86" s="2" t="n">
        <f aca="false">P86*Q86</f>
        <v>0</v>
      </c>
      <c r="S86" s="2" t="str">
        <f aca="false">IF(R86&gt;=15,"Critical",IF(R86&gt;=9,"High",IF(R86&gt;=4,"Medium","Low")))</f>
        <v>Low</v>
      </c>
      <c r="T86" s="2"/>
      <c r="U86" s="2"/>
      <c r="V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 t="n">
        <f aca="false">J87*K87</f>
        <v>0</v>
      </c>
      <c r="M87" s="2" t="str">
        <f aca="false">IF(L87&gt;=15,"Critical",IF(L87&gt;=9,"High",IF(L87&gt;=4,"Medium","Low")))</f>
        <v>Low</v>
      </c>
      <c r="N87" s="2"/>
      <c r="O87" s="2"/>
      <c r="P87" s="2"/>
      <c r="Q87" s="2"/>
      <c r="R87" s="2" t="n">
        <f aca="false">P87*Q87</f>
        <v>0</v>
      </c>
      <c r="S87" s="2" t="str">
        <f aca="false">IF(R87&gt;=15,"Critical",IF(R87&gt;=9,"High",IF(R87&gt;=4,"Medium","Low")))</f>
        <v>Low</v>
      </c>
      <c r="T87" s="2"/>
      <c r="U87" s="2"/>
      <c r="V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 t="n">
        <f aca="false">J88*K88</f>
        <v>0</v>
      </c>
      <c r="M88" s="2" t="str">
        <f aca="false">IF(L88&gt;=15,"Critical",IF(L88&gt;=9,"High",IF(L88&gt;=4,"Medium","Low")))</f>
        <v>Low</v>
      </c>
      <c r="N88" s="2"/>
      <c r="O88" s="2"/>
      <c r="P88" s="2"/>
      <c r="Q88" s="2"/>
      <c r="R88" s="2" t="n">
        <f aca="false">P88*Q88</f>
        <v>0</v>
      </c>
      <c r="S88" s="2" t="str">
        <f aca="false">IF(R88&gt;=15,"Critical",IF(R88&gt;=9,"High",IF(R88&gt;=4,"Medium","Low")))</f>
        <v>Low</v>
      </c>
      <c r="T88" s="2"/>
      <c r="U88" s="2"/>
      <c r="V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 t="n">
        <f aca="false">J89*K89</f>
        <v>0</v>
      </c>
      <c r="M89" s="2" t="str">
        <f aca="false">IF(L89&gt;=15,"Critical",IF(L89&gt;=9,"High",IF(L89&gt;=4,"Medium","Low")))</f>
        <v>Low</v>
      </c>
      <c r="N89" s="2"/>
      <c r="O89" s="2"/>
      <c r="P89" s="2"/>
      <c r="Q89" s="2"/>
      <c r="R89" s="2" t="n">
        <f aca="false">P89*Q89</f>
        <v>0</v>
      </c>
      <c r="S89" s="2" t="str">
        <f aca="false">IF(R89&gt;=15,"Critical",IF(R89&gt;=9,"High",IF(R89&gt;=4,"Medium","Low")))</f>
        <v>Low</v>
      </c>
      <c r="T89" s="2"/>
      <c r="U89" s="2"/>
      <c r="V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 t="n">
        <f aca="false">J90*K90</f>
        <v>0</v>
      </c>
      <c r="M90" s="2" t="str">
        <f aca="false">IF(L90&gt;=15,"Critical",IF(L90&gt;=9,"High",IF(L90&gt;=4,"Medium","Low")))</f>
        <v>Low</v>
      </c>
      <c r="N90" s="2"/>
      <c r="O90" s="2"/>
      <c r="P90" s="2"/>
      <c r="Q90" s="2"/>
      <c r="R90" s="2" t="n">
        <f aca="false">P90*Q90</f>
        <v>0</v>
      </c>
      <c r="S90" s="2" t="str">
        <f aca="false">IF(R90&gt;=15,"Critical",IF(R90&gt;=9,"High",IF(R90&gt;=4,"Medium","Low")))</f>
        <v>Low</v>
      </c>
      <c r="T90" s="2"/>
      <c r="U90" s="2"/>
      <c r="V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 t="n">
        <f aca="false">J91*K91</f>
        <v>0</v>
      </c>
      <c r="M91" s="2" t="str">
        <f aca="false">IF(L91&gt;=15,"Critical",IF(L91&gt;=9,"High",IF(L91&gt;=4,"Medium","Low")))</f>
        <v>Low</v>
      </c>
      <c r="N91" s="2"/>
      <c r="O91" s="2"/>
      <c r="P91" s="2"/>
      <c r="Q91" s="2"/>
      <c r="R91" s="2" t="n">
        <f aca="false">P91*Q91</f>
        <v>0</v>
      </c>
      <c r="S91" s="2" t="str">
        <f aca="false">IF(R91&gt;=15,"Critical",IF(R91&gt;=9,"High",IF(R91&gt;=4,"Medium","Low")))</f>
        <v>Low</v>
      </c>
      <c r="T91" s="2"/>
      <c r="U91" s="2"/>
      <c r="V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 t="n">
        <f aca="false">J92*K92</f>
        <v>0</v>
      </c>
      <c r="M92" s="2" t="str">
        <f aca="false">IF(L92&gt;=15,"Critical",IF(L92&gt;=9,"High",IF(L92&gt;=4,"Medium","Low")))</f>
        <v>Low</v>
      </c>
      <c r="N92" s="2"/>
      <c r="O92" s="2"/>
      <c r="P92" s="2"/>
      <c r="Q92" s="2"/>
      <c r="R92" s="2" t="n">
        <f aca="false">P92*Q92</f>
        <v>0</v>
      </c>
      <c r="S92" s="2" t="str">
        <f aca="false">IF(R92&gt;=15,"Critical",IF(R92&gt;=9,"High",IF(R92&gt;=4,"Medium","Low")))</f>
        <v>Low</v>
      </c>
      <c r="T92" s="2"/>
      <c r="U92" s="2"/>
      <c r="V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 t="n">
        <f aca="false">J93*K93</f>
        <v>0</v>
      </c>
      <c r="M93" s="2" t="str">
        <f aca="false">IF(L93&gt;=15,"Critical",IF(L93&gt;=9,"High",IF(L93&gt;=4,"Medium","Low")))</f>
        <v>Low</v>
      </c>
      <c r="N93" s="2"/>
      <c r="O93" s="2"/>
      <c r="P93" s="2"/>
      <c r="Q93" s="2"/>
      <c r="R93" s="2" t="n">
        <f aca="false">P93*Q93</f>
        <v>0</v>
      </c>
      <c r="S93" s="2" t="str">
        <f aca="false">IF(R93&gt;=15,"Critical",IF(R93&gt;=9,"High",IF(R93&gt;=4,"Medium","Low")))</f>
        <v>Low</v>
      </c>
      <c r="T93" s="2"/>
      <c r="U93" s="2"/>
      <c r="V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 t="n">
        <f aca="false">J94*K94</f>
        <v>0</v>
      </c>
      <c r="M94" s="2" t="str">
        <f aca="false">IF(L94&gt;=15,"Critical",IF(L94&gt;=9,"High",IF(L94&gt;=4,"Medium","Low")))</f>
        <v>Low</v>
      </c>
      <c r="N94" s="2"/>
      <c r="O94" s="2"/>
      <c r="P94" s="2"/>
      <c r="Q94" s="2"/>
      <c r="R94" s="2" t="n">
        <f aca="false">P94*Q94</f>
        <v>0</v>
      </c>
      <c r="S94" s="2" t="str">
        <f aca="false">IF(R94&gt;=15,"Critical",IF(R94&gt;=9,"High",IF(R94&gt;=4,"Medium","Low")))</f>
        <v>Low</v>
      </c>
      <c r="T94" s="2"/>
      <c r="U94" s="2"/>
      <c r="V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 t="n">
        <f aca="false">J95*K95</f>
        <v>0</v>
      </c>
      <c r="M95" s="2" t="str">
        <f aca="false">IF(L95&gt;=15,"Critical",IF(L95&gt;=9,"High",IF(L95&gt;=4,"Medium","Low")))</f>
        <v>Low</v>
      </c>
      <c r="N95" s="2"/>
      <c r="O95" s="2"/>
      <c r="P95" s="2"/>
      <c r="Q95" s="2"/>
      <c r="R95" s="2" t="n">
        <f aca="false">P95*Q95</f>
        <v>0</v>
      </c>
      <c r="S95" s="2" t="str">
        <f aca="false">IF(R95&gt;=15,"Critical",IF(R95&gt;=9,"High",IF(R95&gt;=4,"Medium","Low")))</f>
        <v>Low</v>
      </c>
      <c r="T95" s="2"/>
      <c r="U95" s="2"/>
      <c r="V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 t="n">
        <f aca="false">J96*K96</f>
        <v>0</v>
      </c>
      <c r="M96" s="2" t="str">
        <f aca="false">IF(L96&gt;=15,"Critical",IF(L96&gt;=9,"High",IF(L96&gt;=4,"Medium","Low")))</f>
        <v>Low</v>
      </c>
      <c r="N96" s="2"/>
      <c r="O96" s="2"/>
      <c r="P96" s="2"/>
      <c r="Q96" s="2"/>
      <c r="R96" s="2" t="n">
        <f aca="false">P96*Q96</f>
        <v>0</v>
      </c>
      <c r="S96" s="2" t="str">
        <f aca="false">IF(R96&gt;=15,"Critical",IF(R96&gt;=9,"High",IF(R96&gt;=4,"Medium","Low")))</f>
        <v>Low</v>
      </c>
      <c r="T96" s="2"/>
      <c r="U96" s="2"/>
      <c r="V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 t="n">
        <f aca="false">J97*K97</f>
        <v>0</v>
      </c>
      <c r="M97" s="2" t="str">
        <f aca="false">IF(L97&gt;=15,"Critical",IF(L97&gt;=9,"High",IF(L97&gt;=4,"Medium","Low")))</f>
        <v>Low</v>
      </c>
      <c r="N97" s="2"/>
      <c r="O97" s="2"/>
      <c r="P97" s="2"/>
      <c r="Q97" s="2"/>
      <c r="R97" s="2" t="n">
        <f aca="false">P97*Q97</f>
        <v>0</v>
      </c>
      <c r="S97" s="2" t="str">
        <f aca="false">IF(R97&gt;=15,"Critical",IF(R97&gt;=9,"High",IF(R97&gt;=4,"Medium","Low")))</f>
        <v>Low</v>
      </c>
      <c r="T97" s="2"/>
      <c r="U97" s="2"/>
      <c r="V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 t="n">
        <f aca="false">J98*K98</f>
        <v>0</v>
      </c>
      <c r="M98" s="2" t="str">
        <f aca="false">IF(L98&gt;=15,"Critical",IF(L98&gt;=9,"High",IF(L98&gt;=4,"Medium","Low")))</f>
        <v>Low</v>
      </c>
      <c r="N98" s="2"/>
      <c r="O98" s="2"/>
      <c r="P98" s="2"/>
      <c r="Q98" s="2"/>
      <c r="R98" s="2" t="n">
        <f aca="false">P98*Q98</f>
        <v>0</v>
      </c>
      <c r="S98" s="2" t="str">
        <f aca="false">IF(R98&gt;=15,"Critical",IF(R98&gt;=9,"High",IF(R98&gt;=4,"Medium","Low")))</f>
        <v>Low</v>
      </c>
      <c r="T98" s="2"/>
      <c r="U98" s="2"/>
      <c r="V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 t="n">
        <f aca="false">J99*K99</f>
        <v>0</v>
      </c>
      <c r="M99" s="2" t="str">
        <f aca="false">IF(L99&gt;=15,"Critical",IF(L99&gt;=9,"High",IF(L99&gt;=4,"Medium","Low")))</f>
        <v>Low</v>
      </c>
      <c r="N99" s="2"/>
      <c r="O99" s="2"/>
      <c r="P99" s="2"/>
      <c r="Q99" s="2"/>
      <c r="R99" s="2" t="n">
        <f aca="false">P99*Q99</f>
        <v>0</v>
      </c>
      <c r="S99" s="2" t="str">
        <f aca="false">IF(R99&gt;=15,"Critical",IF(R99&gt;=9,"High",IF(R99&gt;=4,"Medium","Low")))</f>
        <v>Low</v>
      </c>
      <c r="T99" s="2"/>
      <c r="U99" s="2"/>
      <c r="V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 t="n">
        <f aca="false">J100*K100</f>
        <v>0</v>
      </c>
      <c r="M100" s="2" t="str">
        <f aca="false">IF(L100&gt;=15,"Critical",IF(L100&gt;=9,"High",IF(L100&gt;=4,"Medium","Low")))</f>
        <v>Low</v>
      </c>
      <c r="N100" s="2"/>
      <c r="O100" s="2"/>
      <c r="P100" s="2"/>
      <c r="Q100" s="2"/>
      <c r="R100" s="2" t="n">
        <f aca="false">P100*Q100</f>
        <v>0</v>
      </c>
      <c r="S100" s="2" t="str">
        <f aca="false">IF(R100&gt;=15,"Critical",IF(R100&gt;=9,"High",IF(R100&gt;=4,"Medium","Low")))</f>
        <v>Low</v>
      </c>
      <c r="T100" s="2"/>
      <c r="U100" s="2"/>
      <c r="V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 t="n">
        <f aca="false">J101*K101</f>
        <v>0</v>
      </c>
      <c r="M101" s="2" t="str">
        <f aca="false">IF(L101&gt;=15,"Critical",IF(L101&gt;=9,"High",IF(L101&gt;=4,"Medium","Low")))</f>
        <v>Low</v>
      </c>
      <c r="N101" s="2"/>
      <c r="O101" s="2"/>
      <c r="P101" s="2"/>
      <c r="Q101" s="2"/>
      <c r="R101" s="2" t="n">
        <f aca="false">P101*Q101</f>
        <v>0</v>
      </c>
      <c r="S101" s="2" t="str">
        <f aca="false">IF(R101&gt;=15,"Critical",IF(R101&gt;=9,"High",IF(R101&gt;=4,"Medium","Low")))</f>
        <v>Low</v>
      </c>
      <c r="T101" s="2"/>
      <c r="U101" s="2"/>
      <c r="V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 t="n">
        <f aca="false">J102*K102</f>
        <v>0</v>
      </c>
      <c r="M102" s="2" t="str">
        <f aca="false">IF(L102&gt;=15,"Critical",IF(L102&gt;=9,"High",IF(L102&gt;=4,"Medium","Low")))</f>
        <v>Low</v>
      </c>
      <c r="N102" s="2"/>
      <c r="O102" s="2"/>
      <c r="P102" s="2"/>
      <c r="Q102" s="2"/>
      <c r="R102" s="2" t="n">
        <f aca="false">P102*Q102</f>
        <v>0</v>
      </c>
      <c r="S102" s="2" t="str">
        <f aca="false">IF(R102&gt;=15,"Critical",IF(R102&gt;=9,"High",IF(R102&gt;=4,"Medium","Low")))</f>
        <v>Low</v>
      </c>
      <c r="T102" s="2"/>
      <c r="U102" s="2"/>
      <c r="V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 t="n">
        <f aca="false">J103*K103</f>
        <v>0</v>
      </c>
      <c r="M103" s="2" t="str">
        <f aca="false">IF(L103&gt;=15,"Critical",IF(L103&gt;=9,"High",IF(L103&gt;=4,"Medium","Low")))</f>
        <v>Low</v>
      </c>
      <c r="N103" s="2"/>
      <c r="O103" s="2"/>
      <c r="P103" s="2"/>
      <c r="Q103" s="2"/>
      <c r="R103" s="2" t="n">
        <f aca="false">P103*Q103</f>
        <v>0</v>
      </c>
      <c r="S103" s="2" t="str">
        <f aca="false">IF(R103&gt;=15,"Critical",IF(R103&gt;=9,"High",IF(R103&gt;=4,"Medium","Low")))</f>
        <v>Low</v>
      </c>
      <c r="T103" s="2"/>
      <c r="U103" s="2"/>
      <c r="V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 t="n">
        <f aca="false">J104*K104</f>
        <v>0</v>
      </c>
      <c r="M104" s="2" t="str">
        <f aca="false">IF(L104&gt;=15,"Critical",IF(L104&gt;=9,"High",IF(L104&gt;=4,"Medium","Low")))</f>
        <v>Low</v>
      </c>
      <c r="N104" s="2"/>
      <c r="O104" s="2"/>
      <c r="P104" s="2"/>
      <c r="Q104" s="2"/>
      <c r="R104" s="2" t="n">
        <f aca="false">P104*Q104</f>
        <v>0</v>
      </c>
      <c r="S104" s="2" t="str">
        <f aca="false">IF(R104&gt;=15,"Critical",IF(R104&gt;=9,"High",IF(R104&gt;=4,"Medium","Low")))</f>
        <v>Low</v>
      </c>
      <c r="T104" s="2"/>
      <c r="U104" s="2"/>
      <c r="V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 t="n">
        <f aca="false">J105*K105</f>
        <v>0</v>
      </c>
      <c r="M105" s="2" t="str">
        <f aca="false">IF(L105&gt;=15,"Critical",IF(L105&gt;=9,"High",IF(L105&gt;=4,"Medium","Low")))</f>
        <v>Low</v>
      </c>
      <c r="N105" s="2"/>
      <c r="O105" s="2"/>
      <c r="P105" s="2"/>
      <c r="Q105" s="2"/>
      <c r="R105" s="2" t="n">
        <f aca="false">P105*Q105</f>
        <v>0</v>
      </c>
      <c r="S105" s="2" t="str">
        <f aca="false">IF(R105&gt;=15,"Critical",IF(R105&gt;=9,"High",IF(R105&gt;=4,"Medium","Low")))</f>
        <v>Low</v>
      </c>
      <c r="T105" s="2"/>
      <c r="U105" s="2"/>
      <c r="V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 t="n">
        <f aca="false">J106*K106</f>
        <v>0</v>
      </c>
      <c r="M106" s="2" t="str">
        <f aca="false">IF(L106&gt;=15,"Critical",IF(L106&gt;=9,"High",IF(L106&gt;=4,"Medium","Low")))</f>
        <v>Low</v>
      </c>
      <c r="N106" s="2"/>
      <c r="O106" s="2"/>
      <c r="P106" s="2"/>
      <c r="Q106" s="2"/>
      <c r="R106" s="2" t="n">
        <f aca="false">P106*Q106</f>
        <v>0</v>
      </c>
      <c r="S106" s="2" t="str">
        <f aca="false">IF(R106&gt;=15,"Critical",IF(R106&gt;=9,"High",IF(R106&gt;=4,"Medium","Low")))</f>
        <v>Low</v>
      </c>
      <c r="T106" s="2"/>
      <c r="U106" s="2"/>
      <c r="V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 t="n">
        <f aca="false">J107*K107</f>
        <v>0</v>
      </c>
      <c r="M107" s="2" t="str">
        <f aca="false">IF(L107&gt;=15,"Critical",IF(L107&gt;=9,"High",IF(L107&gt;=4,"Medium","Low")))</f>
        <v>Low</v>
      </c>
      <c r="N107" s="2"/>
      <c r="O107" s="2"/>
      <c r="P107" s="2"/>
      <c r="Q107" s="2"/>
      <c r="R107" s="2" t="n">
        <f aca="false">P107*Q107</f>
        <v>0</v>
      </c>
      <c r="S107" s="2" t="str">
        <f aca="false">IF(R107&gt;=15,"Critical",IF(R107&gt;=9,"High",IF(R107&gt;=4,"Medium","Low")))</f>
        <v>Low</v>
      </c>
      <c r="T107" s="2"/>
      <c r="U107" s="2"/>
      <c r="V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 t="n">
        <f aca="false">J108*K108</f>
        <v>0</v>
      </c>
      <c r="M108" s="2" t="str">
        <f aca="false">IF(L108&gt;=15,"Critical",IF(L108&gt;=9,"High",IF(L108&gt;=4,"Medium","Low")))</f>
        <v>Low</v>
      </c>
      <c r="N108" s="2"/>
      <c r="O108" s="2"/>
      <c r="P108" s="2"/>
      <c r="Q108" s="2"/>
      <c r="R108" s="2" t="n">
        <f aca="false">P108*Q108</f>
        <v>0</v>
      </c>
      <c r="S108" s="2" t="str">
        <f aca="false">IF(R108&gt;=15,"Critical",IF(R108&gt;=9,"High",IF(R108&gt;=4,"Medium","Low")))</f>
        <v>Low</v>
      </c>
      <c r="T108" s="2"/>
      <c r="U108" s="2"/>
      <c r="V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 t="n">
        <f aca="false">J109*K109</f>
        <v>0</v>
      </c>
      <c r="M109" s="2" t="str">
        <f aca="false">IF(L109&gt;=15,"Critical",IF(L109&gt;=9,"High",IF(L109&gt;=4,"Medium","Low")))</f>
        <v>Low</v>
      </c>
      <c r="N109" s="2"/>
      <c r="O109" s="2"/>
      <c r="P109" s="2"/>
      <c r="Q109" s="2"/>
      <c r="R109" s="2" t="n">
        <f aca="false">P109*Q109</f>
        <v>0</v>
      </c>
      <c r="S109" s="2" t="str">
        <f aca="false">IF(R109&gt;=15,"Critical",IF(R109&gt;=9,"High",IF(R109&gt;=4,"Medium","Low")))</f>
        <v>Low</v>
      </c>
      <c r="T109" s="2"/>
      <c r="U109" s="2"/>
      <c r="V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 t="n">
        <f aca="false">J110*K110</f>
        <v>0</v>
      </c>
      <c r="M110" s="2" t="str">
        <f aca="false">IF(L110&gt;=15,"Critical",IF(L110&gt;=9,"High",IF(L110&gt;=4,"Medium","Low")))</f>
        <v>Low</v>
      </c>
      <c r="N110" s="2"/>
      <c r="O110" s="2"/>
      <c r="P110" s="2"/>
      <c r="Q110" s="2"/>
      <c r="R110" s="2" t="n">
        <f aca="false">P110*Q110</f>
        <v>0</v>
      </c>
      <c r="S110" s="2" t="str">
        <f aca="false">IF(R110&gt;=15,"Critical",IF(R110&gt;=9,"High",IF(R110&gt;=4,"Medium","Low")))</f>
        <v>Low</v>
      </c>
      <c r="T110" s="2"/>
      <c r="U110" s="2"/>
      <c r="V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 t="n">
        <f aca="false">J111*K111</f>
        <v>0</v>
      </c>
      <c r="M111" s="2" t="str">
        <f aca="false">IF(L111&gt;=15,"Critical",IF(L111&gt;=9,"High",IF(L111&gt;=4,"Medium","Low")))</f>
        <v>Low</v>
      </c>
      <c r="N111" s="2"/>
      <c r="O111" s="2"/>
      <c r="P111" s="2"/>
      <c r="Q111" s="2"/>
      <c r="R111" s="2" t="n">
        <f aca="false">P111*Q111</f>
        <v>0</v>
      </c>
      <c r="S111" s="2" t="str">
        <f aca="false">IF(R111&gt;=15,"Critical",IF(R111&gt;=9,"High",IF(R111&gt;=4,"Medium","Low")))</f>
        <v>Low</v>
      </c>
      <c r="T111" s="2"/>
      <c r="U111" s="2"/>
      <c r="V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 t="n">
        <f aca="false">J112*K112</f>
        <v>0</v>
      </c>
      <c r="M112" s="2" t="str">
        <f aca="false">IF(L112&gt;=15,"Critical",IF(L112&gt;=9,"High",IF(L112&gt;=4,"Medium","Low")))</f>
        <v>Low</v>
      </c>
      <c r="N112" s="2"/>
      <c r="O112" s="2"/>
      <c r="P112" s="2"/>
      <c r="Q112" s="2"/>
      <c r="R112" s="2" t="n">
        <f aca="false">P112*Q112</f>
        <v>0</v>
      </c>
      <c r="S112" s="2" t="str">
        <f aca="false">IF(R112&gt;=15,"Critical",IF(R112&gt;=9,"High",IF(R112&gt;=4,"Medium","Low")))</f>
        <v>Low</v>
      </c>
      <c r="T112" s="2"/>
      <c r="U112" s="2"/>
      <c r="V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 t="n">
        <f aca="false">J113*K113</f>
        <v>0</v>
      </c>
      <c r="M113" s="2" t="str">
        <f aca="false">IF(L113&gt;=15,"Critical",IF(L113&gt;=9,"High",IF(L113&gt;=4,"Medium","Low")))</f>
        <v>Low</v>
      </c>
      <c r="N113" s="2"/>
      <c r="O113" s="2"/>
      <c r="P113" s="2"/>
      <c r="Q113" s="2"/>
      <c r="R113" s="2" t="n">
        <f aca="false">P113*Q113</f>
        <v>0</v>
      </c>
      <c r="S113" s="2" t="str">
        <f aca="false">IF(R113&gt;=15,"Critical",IF(R113&gt;=9,"High",IF(R113&gt;=4,"Medium","Low")))</f>
        <v>Low</v>
      </c>
      <c r="T113" s="2"/>
      <c r="U113" s="2"/>
      <c r="V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 t="n">
        <f aca="false">J114*K114</f>
        <v>0</v>
      </c>
      <c r="M114" s="2" t="str">
        <f aca="false">IF(L114&gt;=15,"Critical",IF(L114&gt;=9,"High",IF(L114&gt;=4,"Medium","Low")))</f>
        <v>Low</v>
      </c>
      <c r="N114" s="2"/>
      <c r="O114" s="2"/>
      <c r="P114" s="2"/>
      <c r="Q114" s="2"/>
      <c r="R114" s="2" t="n">
        <f aca="false">P114*Q114</f>
        <v>0</v>
      </c>
      <c r="S114" s="2" t="str">
        <f aca="false">IF(R114&gt;=15,"Critical",IF(R114&gt;=9,"High",IF(R114&gt;=4,"Medium","Low")))</f>
        <v>Low</v>
      </c>
      <c r="T114" s="2"/>
      <c r="U114" s="2"/>
      <c r="V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 t="n">
        <f aca="false">J115*K115</f>
        <v>0</v>
      </c>
      <c r="M115" s="2" t="str">
        <f aca="false">IF(L115&gt;=15,"Critical",IF(L115&gt;=9,"High",IF(L115&gt;=4,"Medium","Low")))</f>
        <v>Low</v>
      </c>
      <c r="N115" s="2"/>
      <c r="O115" s="2"/>
      <c r="P115" s="2"/>
      <c r="Q115" s="2"/>
      <c r="R115" s="2" t="n">
        <f aca="false">P115*Q115</f>
        <v>0</v>
      </c>
      <c r="S115" s="2" t="str">
        <f aca="false">IF(R115&gt;=15,"Critical",IF(R115&gt;=9,"High",IF(R115&gt;=4,"Medium","Low")))</f>
        <v>Low</v>
      </c>
      <c r="T115" s="2"/>
      <c r="U115" s="2"/>
      <c r="V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 t="n">
        <f aca="false">J116*K116</f>
        <v>0</v>
      </c>
      <c r="M116" s="2" t="str">
        <f aca="false">IF(L116&gt;=15,"Critical",IF(L116&gt;=9,"High",IF(L116&gt;=4,"Medium","Low")))</f>
        <v>Low</v>
      </c>
      <c r="N116" s="2"/>
      <c r="O116" s="2"/>
      <c r="P116" s="2"/>
      <c r="Q116" s="2"/>
      <c r="R116" s="2" t="n">
        <f aca="false">P116*Q116</f>
        <v>0</v>
      </c>
      <c r="S116" s="2" t="str">
        <f aca="false">IF(R116&gt;=15,"Critical",IF(R116&gt;=9,"High",IF(R116&gt;=4,"Medium","Low")))</f>
        <v>Low</v>
      </c>
      <c r="T116" s="2"/>
      <c r="U116" s="2"/>
      <c r="V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 t="n">
        <f aca="false">J117*K117</f>
        <v>0</v>
      </c>
      <c r="M117" s="2" t="str">
        <f aca="false">IF(L117&gt;=15,"Critical",IF(L117&gt;=9,"High",IF(L117&gt;=4,"Medium","Low")))</f>
        <v>Low</v>
      </c>
      <c r="N117" s="2"/>
      <c r="O117" s="2"/>
      <c r="P117" s="2"/>
      <c r="Q117" s="2"/>
      <c r="R117" s="2" t="n">
        <f aca="false">P117*Q117</f>
        <v>0</v>
      </c>
      <c r="S117" s="2" t="str">
        <f aca="false">IF(R117&gt;=15,"Critical",IF(R117&gt;=9,"High",IF(R117&gt;=4,"Medium","Low")))</f>
        <v>Low</v>
      </c>
      <c r="T117" s="2"/>
      <c r="U117" s="2"/>
      <c r="V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 t="n">
        <f aca="false">J118*K118</f>
        <v>0</v>
      </c>
      <c r="M118" s="2" t="str">
        <f aca="false">IF(L118&gt;=15,"Critical",IF(L118&gt;=9,"High",IF(L118&gt;=4,"Medium","Low")))</f>
        <v>Low</v>
      </c>
      <c r="N118" s="2"/>
      <c r="O118" s="2"/>
      <c r="P118" s="2"/>
      <c r="Q118" s="2"/>
      <c r="R118" s="2" t="n">
        <f aca="false">P118*Q118</f>
        <v>0</v>
      </c>
      <c r="S118" s="2" t="str">
        <f aca="false">IF(R118&gt;=15,"Critical",IF(R118&gt;=9,"High",IF(R118&gt;=4,"Medium","Low")))</f>
        <v>Low</v>
      </c>
      <c r="T118" s="2"/>
      <c r="U118" s="2"/>
      <c r="V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 t="n">
        <f aca="false">J119*K119</f>
        <v>0</v>
      </c>
      <c r="M119" s="2" t="str">
        <f aca="false">IF(L119&gt;=15,"Critical",IF(L119&gt;=9,"High",IF(L119&gt;=4,"Medium","Low")))</f>
        <v>Low</v>
      </c>
      <c r="N119" s="2"/>
      <c r="O119" s="2"/>
      <c r="P119" s="2"/>
      <c r="Q119" s="2"/>
      <c r="R119" s="2" t="n">
        <f aca="false">P119*Q119</f>
        <v>0</v>
      </c>
      <c r="S119" s="2" t="str">
        <f aca="false">IF(R119&gt;=15,"Critical",IF(R119&gt;=9,"High",IF(R119&gt;=4,"Medium","Low")))</f>
        <v>Low</v>
      </c>
      <c r="T119" s="2"/>
      <c r="U119" s="2"/>
      <c r="V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 t="n">
        <f aca="false">J120*K120</f>
        <v>0</v>
      </c>
      <c r="M120" s="2" t="str">
        <f aca="false">IF(L120&gt;=15,"Critical",IF(L120&gt;=9,"High",IF(L120&gt;=4,"Medium","Low")))</f>
        <v>Low</v>
      </c>
      <c r="N120" s="2"/>
      <c r="O120" s="2"/>
      <c r="P120" s="2"/>
      <c r="Q120" s="2"/>
      <c r="R120" s="2" t="n">
        <f aca="false">P120*Q120</f>
        <v>0</v>
      </c>
      <c r="S120" s="2" t="str">
        <f aca="false">IF(R120&gt;=15,"Critical",IF(R120&gt;=9,"High",IF(R120&gt;=4,"Medium","Low")))</f>
        <v>Low</v>
      </c>
      <c r="T120" s="2"/>
      <c r="U120" s="2"/>
      <c r="V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 t="n">
        <f aca="false">J121*K121</f>
        <v>0</v>
      </c>
      <c r="M121" s="2" t="str">
        <f aca="false">IF(L121&gt;=15,"Critical",IF(L121&gt;=9,"High",IF(L121&gt;=4,"Medium","Low")))</f>
        <v>Low</v>
      </c>
      <c r="N121" s="2"/>
      <c r="O121" s="2"/>
      <c r="P121" s="2"/>
      <c r="Q121" s="2"/>
      <c r="R121" s="2" t="n">
        <f aca="false">P121*Q121</f>
        <v>0</v>
      </c>
      <c r="S121" s="2" t="str">
        <f aca="false">IF(R121&gt;=15,"Critical",IF(R121&gt;=9,"High",IF(R121&gt;=4,"Medium","Low")))</f>
        <v>Low</v>
      </c>
      <c r="T121" s="2"/>
      <c r="U121" s="2"/>
      <c r="V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 t="n">
        <f aca="false">J122*K122</f>
        <v>0</v>
      </c>
      <c r="M122" s="2" t="str">
        <f aca="false">IF(L122&gt;=15,"Critical",IF(L122&gt;=9,"High",IF(L122&gt;=4,"Medium","Low")))</f>
        <v>Low</v>
      </c>
      <c r="N122" s="2"/>
      <c r="O122" s="2"/>
      <c r="P122" s="2"/>
      <c r="Q122" s="2"/>
      <c r="R122" s="2" t="n">
        <f aca="false">P122*Q122</f>
        <v>0</v>
      </c>
      <c r="S122" s="2" t="str">
        <f aca="false">IF(R122&gt;=15,"Critical",IF(R122&gt;=9,"High",IF(R122&gt;=4,"Medium","Low")))</f>
        <v>Low</v>
      </c>
      <c r="T122" s="2"/>
      <c r="U122" s="2"/>
      <c r="V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 t="n">
        <f aca="false">J123*K123</f>
        <v>0</v>
      </c>
      <c r="M123" s="2" t="str">
        <f aca="false">IF(L123&gt;=15,"Critical",IF(L123&gt;=9,"High",IF(L123&gt;=4,"Medium","Low")))</f>
        <v>Low</v>
      </c>
      <c r="N123" s="2"/>
      <c r="O123" s="2"/>
      <c r="P123" s="2"/>
      <c r="Q123" s="2"/>
      <c r="R123" s="2" t="n">
        <f aca="false">P123*Q123</f>
        <v>0</v>
      </c>
      <c r="S123" s="2" t="str">
        <f aca="false">IF(R123&gt;=15,"Critical",IF(R123&gt;=9,"High",IF(R123&gt;=4,"Medium","Low")))</f>
        <v>Low</v>
      </c>
      <c r="T123" s="2"/>
      <c r="U123" s="2"/>
      <c r="V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 t="n">
        <f aca="false">J124*K124</f>
        <v>0</v>
      </c>
      <c r="M124" s="2" t="str">
        <f aca="false">IF(L124&gt;=15,"Critical",IF(L124&gt;=9,"High",IF(L124&gt;=4,"Medium","Low")))</f>
        <v>Low</v>
      </c>
      <c r="N124" s="2"/>
      <c r="O124" s="2"/>
      <c r="P124" s="2"/>
      <c r="Q124" s="2"/>
      <c r="R124" s="2" t="n">
        <f aca="false">P124*Q124</f>
        <v>0</v>
      </c>
      <c r="S124" s="2" t="str">
        <f aca="false">IF(R124&gt;=15,"Critical",IF(R124&gt;=9,"High",IF(R124&gt;=4,"Medium","Low")))</f>
        <v>Low</v>
      </c>
      <c r="T124" s="2"/>
      <c r="U124" s="2"/>
      <c r="V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 t="n">
        <f aca="false">J125*K125</f>
        <v>0</v>
      </c>
      <c r="M125" s="2" t="str">
        <f aca="false">IF(L125&gt;=15,"Critical",IF(L125&gt;=9,"High",IF(L125&gt;=4,"Medium","Low")))</f>
        <v>Low</v>
      </c>
      <c r="N125" s="2"/>
      <c r="O125" s="2"/>
      <c r="P125" s="2"/>
      <c r="Q125" s="2"/>
      <c r="R125" s="2" t="n">
        <f aca="false">P125*Q125</f>
        <v>0</v>
      </c>
      <c r="S125" s="2" t="str">
        <f aca="false">IF(R125&gt;=15,"Critical",IF(R125&gt;=9,"High",IF(R125&gt;=4,"Medium","Low")))</f>
        <v>Low</v>
      </c>
      <c r="T125" s="2"/>
      <c r="U125" s="2"/>
      <c r="V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 t="n">
        <f aca="false">J126*K126</f>
        <v>0</v>
      </c>
      <c r="M126" s="2" t="str">
        <f aca="false">IF(L126&gt;=15,"Critical",IF(L126&gt;=9,"High",IF(L126&gt;=4,"Medium","Low")))</f>
        <v>Low</v>
      </c>
      <c r="N126" s="2"/>
      <c r="O126" s="2"/>
      <c r="P126" s="2"/>
      <c r="Q126" s="2"/>
      <c r="R126" s="2" t="n">
        <f aca="false">P126*Q126</f>
        <v>0</v>
      </c>
      <c r="S126" s="2" t="str">
        <f aca="false">IF(R126&gt;=15,"Critical",IF(R126&gt;=9,"High",IF(R126&gt;=4,"Medium","Low")))</f>
        <v>Low</v>
      </c>
      <c r="T126" s="2"/>
      <c r="U126" s="2"/>
      <c r="V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 t="n">
        <f aca="false">J127*K127</f>
        <v>0</v>
      </c>
      <c r="M127" s="2" t="str">
        <f aca="false">IF(L127&gt;=15,"Critical",IF(L127&gt;=9,"High",IF(L127&gt;=4,"Medium","Low")))</f>
        <v>Low</v>
      </c>
      <c r="N127" s="2"/>
      <c r="O127" s="2"/>
      <c r="P127" s="2"/>
      <c r="Q127" s="2"/>
      <c r="R127" s="2" t="n">
        <f aca="false">P127*Q127</f>
        <v>0</v>
      </c>
      <c r="S127" s="2" t="str">
        <f aca="false">IF(R127&gt;=15,"Critical",IF(R127&gt;=9,"High",IF(R127&gt;=4,"Medium","Low")))</f>
        <v>Low</v>
      </c>
      <c r="T127" s="2"/>
      <c r="U127" s="2"/>
      <c r="V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 t="n">
        <f aca="false">J128*K128</f>
        <v>0</v>
      </c>
      <c r="M128" s="2" t="str">
        <f aca="false">IF(L128&gt;=15,"Critical",IF(L128&gt;=9,"High",IF(L128&gt;=4,"Medium","Low")))</f>
        <v>Low</v>
      </c>
      <c r="N128" s="2"/>
      <c r="O128" s="2"/>
      <c r="P128" s="2"/>
      <c r="Q128" s="2"/>
      <c r="R128" s="2" t="n">
        <f aca="false">P128*Q128</f>
        <v>0</v>
      </c>
      <c r="S128" s="2" t="str">
        <f aca="false">IF(R128&gt;=15,"Critical",IF(R128&gt;=9,"High",IF(R128&gt;=4,"Medium","Low")))</f>
        <v>Low</v>
      </c>
      <c r="T128" s="2"/>
      <c r="U128" s="2"/>
      <c r="V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 t="n">
        <f aca="false">J129*K129</f>
        <v>0</v>
      </c>
      <c r="M129" s="2" t="str">
        <f aca="false">IF(L129&gt;=15,"Critical",IF(L129&gt;=9,"High",IF(L129&gt;=4,"Medium","Low")))</f>
        <v>Low</v>
      </c>
      <c r="N129" s="2"/>
      <c r="O129" s="2"/>
      <c r="P129" s="2"/>
      <c r="Q129" s="2"/>
      <c r="R129" s="2" t="n">
        <f aca="false">P129*Q129</f>
        <v>0</v>
      </c>
      <c r="S129" s="2" t="str">
        <f aca="false">IF(R129&gt;=15,"Critical",IF(R129&gt;=9,"High",IF(R129&gt;=4,"Medium","Low")))</f>
        <v>Low</v>
      </c>
      <c r="T129" s="2"/>
      <c r="U129" s="2"/>
      <c r="V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 t="n">
        <f aca="false">J130*K130</f>
        <v>0</v>
      </c>
      <c r="M130" s="2" t="str">
        <f aca="false">IF(L130&gt;=15,"Critical",IF(L130&gt;=9,"High",IF(L130&gt;=4,"Medium","Low")))</f>
        <v>Low</v>
      </c>
      <c r="N130" s="2"/>
      <c r="O130" s="2"/>
      <c r="P130" s="2"/>
      <c r="Q130" s="2"/>
      <c r="R130" s="2" t="n">
        <f aca="false">P130*Q130</f>
        <v>0</v>
      </c>
      <c r="S130" s="2" t="str">
        <f aca="false">IF(R130&gt;=15,"Critical",IF(R130&gt;=9,"High",IF(R130&gt;=4,"Medium","Low")))</f>
        <v>Low</v>
      </c>
      <c r="T130" s="2"/>
      <c r="U130" s="2"/>
      <c r="V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 t="n">
        <f aca="false">J131*K131</f>
        <v>0</v>
      </c>
      <c r="M131" s="2" t="str">
        <f aca="false">IF(L131&gt;=15,"Critical",IF(L131&gt;=9,"High",IF(L131&gt;=4,"Medium","Low")))</f>
        <v>Low</v>
      </c>
      <c r="N131" s="2"/>
      <c r="O131" s="2"/>
      <c r="P131" s="2"/>
      <c r="Q131" s="2"/>
      <c r="R131" s="2" t="n">
        <f aca="false">P131*Q131</f>
        <v>0</v>
      </c>
      <c r="S131" s="2" t="str">
        <f aca="false">IF(R131&gt;=15,"Critical",IF(R131&gt;=9,"High",IF(R131&gt;=4,"Medium","Low")))</f>
        <v>Low</v>
      </c>
      <c r="T131" s="2"/>
      <c r="U131" s="2"/>
      <c r="V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 t="n">
        <f aca="false">J132*K132</f>
        <v>0</v>
      </c>
      <c r="M132" s="2" t="str">
        <f aca="false">IF(L132&gt;=15,"Critical",IF(L132&gt;=9,"High",IF(L132&gt;=4,"Medium","Low")))</f>
        <v>Low</v>
      </c>
      <c r="N132" s="2"/>
      <c r="O132" s="2"/>
      <c r="P132" s="2"/>
      <c r="Q132" s="2"/>
      <c r="R132" s="2" t="n">
        <f aca="false">P132*Q132</f>
        <v>0</v>
      </c>
      <c r="S132" s="2" t="str">
        <f aca="false">IF(R132&gt;=15,"Critical",IF(R132&gt;=9,"High",IF(R132&gt;=4,"Medium","Low")))</f>
        <v>Low</v>
      </c>
      <c r="T132" s="2"/>
      <c r="U132" s="2"/>
      <c r="V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 t="n">
        <f aca="false">J133*K133</f>
        <v>0</v>
      </c>
      <c r="M133" s="2" t="str">
        <f aca="false">IF(L133&gt;=15,"Critical",IF(L133&gt;=9,"High",IF(L133&gt;=4,"Medium","Low")))</f>
        <v>Low</v>
      </c>
      <c r="N133" s="2"/>
      <c r="O133" s="2"/>
      <c r="P133" s="2"/>
      <c r="Q133" s="2"/>
      <c r="R133" s="2" t="n">
        <f aca="false">P133*Q133</f>
        <v>0</v>
      </c>
      <c r="S133" s="2" t="str">
        <f aca="false">IF(R133&gt;=15,"Critical",IF(R133&gt;=9,"High",IF(R133&gt;=4,"Medium","Low")))</f>
        <v>Low</v>
      </c>
      <c r="T133" s="2"/>
      <c r="U133" s="2"/>
      <c r="V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 t="n">
        <f aca="false">J134*K134</f>
        <v>0</v>
      </c>
      <c r="M134" s="2" t="str">
        <f aca="false">IF(L134&gt;=15,"Critical",IF(L134&gt;=9,"High",IF(L134&gt;=4,"Medium","Low")))</f>
        <v>Low</v>
      </c>
      <c r="N134" s="2"/>
      <c r="O134" s="2"/>
      <c r="P134" s="2"/>
      <c r="Q134" s="2"/>
      <c r="R134" s="2" t="n">
        <f aca="false">P134*Q134</f>
        <v>0</v>
      </c>
      <c r="S134" s="2" t="str">
        <f aca="false">IF(R134&gt;=15,"Critical",IF(R134&gt;=9,"High",IF(R134&gt;=4,"Medium","Low")))</f>
        <v>Low</v>
      </c>
      <c r="T134" s="2"/>
      <c r="U134" s="2"/>
      <c r="V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 t="n">
        <f aca="false">J135*K135</f>
        <v>0</v>
      </c>
      <c r="M135" s="2" t="str">
        <f aca="false">IF(L135&gt;=15,"Critical",IF(L135&gt;=9,"High",IF(L135&gt;=4,"Medium","Low")))</f>
        <v>Low</v>
      </c>
      <c r="N135" s="2"/>
      <c r="O135" s="2"/>
      <c r="P135" s="2"/>
      <c r="Q135" s="2"/>
      <c r="R135" s="2" t="n">
        <f aca="false">P135*Q135</f>
        <v>0</v>
      </c>
      <c r="S135" s="2" t="str">
        <f aca="false">IF(R135&gt;=15,"Critical",IF(R135&gt;=9,"High",IF(R135&gt;=4,"Medium","Low")))</f>
        <v>Low</v>
      </c>
      <c r="T135" s="2"/>
      <c r="U135" s="2"/>
      <c r="V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 t="n">
        <f aca="false">J136*K136</f>
        <v>0</v>
      </c>
      <c r="M136" s="2" t="str">
        <f aca="false">IF(L136&gt;=15,"Critical",IF(L136&gt;=9,"High",IF(L136&gt;=4,"Medium","Low")))</f>
        <v>Low</v>
      </c>
      <c r="N136" s="2"/>
      <c r="O136" s="2"/>
      <c r="P136" s="2"/>
      <c r="Q136" s="2"/>
      <c r="R136" s="2" t="n">
        <f aca="false">P136*Q136</f>
        <v>0</v>
      </c>
      <c r="S136" s="2" t="str">
        <f aca="false">IF(R136&gt;=15,"Critical",IF(R136&gt;=9,"High",IF(R136&gt;=4,"Medium","Low")))</f>
        <v>Low</v>
      </c>
      <c r="T136" s="2"/>
      <c r="U136" s="2"/>
      <c r="V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 t="n">
        <f aca="false">J137*K137</f>
        <v>0</v>
      </c>
      <c r="M137" s="2" t="str">
        <f aca="false">IF(L137&gt;=15,"Critical",IF(L137&gt;=9,"High",IF(L137&gt;=4,"Medium","Low")))</f>
        <v>Low</v>
      </c>
      <c r="N137" s="2"/>
      <c r="O137" s="2"/>
      <c r="P137" s="2"/>
      <c r="Q137" s="2"/>
      <c r="R137" s="2" t="n">
        <f aca="false">P137*Q137</f>
        <v>0</v>
      </c>
      <c r="S137" s="2" t="str">
        <f aca="false">IF(R137&gt;=15,"Critical",IF(R137&gt;=9,"High",IF(R137&gt;=4,"Medium","Low")))</f>
        <v>Low</v>
      </c>
      <c r="T137" s="2"/>
      <c r="U137" s="2"/>
      <c r="V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 t="n">
        <f aca="false">J138*K138</f>
        <v>0</v>
      </c>
      <c r="M138" s="2" t="str">
        <f aca="false">IF(L138&gt;=15,"Critical",IF(L138&gt;=9,"High",IF(L138&gt;=4,"Medium","Low")))</f>
        <v>Low</v>
      </c>
      <c r="N138" s="2"/>
      <c r="O138" s="2"/>
      <c r="P138" s="2"/>
      <c r="Q138" s="2"/>
      <c r="R138" s="2" t="n">
        <f aca="false">P138*Q138</f>
        <v>0</v>
      </c>
      <c r="S138" s="2" t="str">
        <f aca="false">IF(R138&gt;=15,"Critical",IF(R138&gt;=9,"High",IF(R138&gt;=4,"Medium","Low")))</f>
        <v>Low</v>
      </c>
      <c r="T138" s="2"/>
      <c r="U138" s="2"/>
      <c r="V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 t="n">
        <f aca="false">J139*K139</f>
        <v>0</v>
      </c>
      <c r="M139" s="2" t="str">
        <f aca="false">IF(L139&gt;=15,"Critical",IF(L139&gt;=9,"High",IF(L139&gt;=4,"Medium","Low")))</f>
        <v>Low</v>
      </c>
      <c r="N139" s="2"/>
      <c r="O139" s="2"/>
      <c r="P139" s="2"/>
      <c r="Q139" s="2"/>
      <c r="R139" s="2" t="n">
        <f aca="false">P139*Q139</f>
        <v>0</v>
      </c>
      <c r="S139" s="2" t="str">
        <f aca="false">IF(R139&gt;=15,"Critical",IF(R139&gt;=9,"High",IF(R139&gt;=4,"Medium","Low")))</f>
        <v>Low</v>
      </c>
      <c r="T139" s="2"/>
      <c r="U139" s="2"/>
      <c r="V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 t="n">
        <f aca="false">J140*K140</f>
        <v>0</v>
      </c>
      <c r="M140" s="2" t="str">
        <f aca="false">IF(L140&gt;=15,"Critical",IF(L140&gt;=9,"High",IF(L140&gt;=4,"Medium","Low")))</f>
        <v>Low</v>
      </c>
      <c r="N140" s="2"/>
      <c r="O140" s="2"/>
      <c r="P140" s="2"/>
      <c r="Q140" s="2"/>
      <c r="R140" s="2" t="n">
        <f aca="false">P140*Q140</f>
        <v>0</v>
      </c>
      <c r="S140" s="2" t="str">
        <f aca="false">IF(R140&gt;=15,"Critical",IF(R140&gt;=9,"High",IF(R140&gt;=4,"Medium","Low")))</f>
        <v>Low</v>
      </c>
      <c r="T140" s="2"/>
      <c r="U140" s="2"/>
      <c r="V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 t="n">
        <f aca="false">J141*K141</f>
        <v>0</v>
      </c>
      <c r="M141" s="2" t="str">
        <f aca="false">IF(L141&gt;=15,"Critical",IF(L141&gt;=9,"High",IF(L141&gt;=4,"Medium","Low")))</f>
        <v>Low</v>
      </c>
      <c r="N141" s="2"/>
      <c r="O141" s="2"/>
      <c r="P141" s="2"/>
      <c r="Q141" s="2"/>
      <c r="R141" s="2" t="n">
        <f aca="false">P141*Q141</f>
        <v>0</v>
      </c>
      <c r="S141" s="2" t="str">
        <f aca="false">IF(R141&gt;=15,"Critical",IF(R141&gt;=9,"High",IF(R141&gt;=4,"Medium","Low")))</f>
        <v>Low</v>
      </c>
      <c r="T141" s="2"/>
      <c r="U141" s="2"/>
      <c r="V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 t="n">
        <f aca="false">J142*K142</f>
        <v>0</v>
      </c>
      <c r="M142" s="2" t="str">
        <f aca="false">IF(L142&gt;=15,"Critical",IF(L142&gt;=9,"High",IF(L142&gt;=4,"Medium","Low")))</f>
        <v>Low</v>
      </c>
      <c r="N142" s="2"/>
      <c r="O142" s="2"/>
      <c r="P142" s="2"/>
      <c r="Q142" s="2"/>
      <c r="R142" s="2" t="n">
        <f aca="false">P142*Q142</f>
        <v>0</v>
      </c>
      <c r="S142" s="2" t="str">
        <f aca="false">IF(R142&gt;=15,"Critical",IF(R142&gt;=9,"High",IF(R142&gt;=4,"Medium","Low")))</f>
        <v>Low</v>
      </c>
      <c r="T142" s="2"/>
      <c r="U142" s="2"/>
      <c r="V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 t="n">
        <f aca="false">J143*K143</f>
        <v>0</v>
      </c>
      <c r="M143" s="2" t="str">
        <f aca="false">IF(L143&gt;=15,"Critical",IF(L143&gt;=9,"High",IF(L143&gt;=4,"Medium","Low")))</f>
        <v>Low</v>
      </c>
      <c r="N143" s="2"/>
      <c r="O143" s="2"/>
      <c r="P143" s="2"/>
      <c r="Q143" s="2"/>
      <c r="R143" s="2" t="n">
        <f aca="false">P143*Q143</f>
        <v>0</v>
      </c>
      <c r="S143" s="2" t="str">
        <f aca="false">IF(R143&gt;=15,"Critical",IF(R143&gt;=9,"High",IF(R143&gt;=4,"Medium","Low")))</f>
        <v>Low</v>
      </c>
      <c r="T143" s="2"/>
      <c r="U143" s="2"/>
      <c r="V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 t="n">
        <f aca="false">J144*K144</f>
        <v>0</v>
      </c>
      <c r="M144" s="2" t="str">
        <f aca="false">IF(L144&gt;=15,"Critical",IF(L144&gt;=9,"High",IF(L144&gt;=4,"Medium","Low")))</f>
        <v>Low</v>
      </c>
      <c r="N144" s="2"/>
      <c r="O144" s="2"/>
      <c r="P144" s="2"/>
      <c r="Q144" s="2"/>
      <c r="R144" s="2" t="n">
        <f aca="false">P144*Q144</f>
        <v>0</v>
      </c>
      <c r="S144" s="2" t="str">
        <f aca="false">IF(R144&gt;=15,"Critical",IF(R144&gt;=9,"High",IF(R144&gt;=4,"Medium","Low")))</f>
        <v>Low</v>
      </c>
      <c r="T144" s="2"/>
      <c r="U144" s="2"/>
      <c r="V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 t="n">
        <f aca="false">J145*K145</f>
        <v>0</v>
      </c>
      <c r="M145" s="2" t="str">
        <f aca="false">IF(L145&gt;=15,"Critical",IF(L145&gt;=9,"High",IF(L145&gt;=4,"Medium","Low")))</f>
        <v>Low</v>
      </c>
      <c r="N145" s="2"/>
      <c r="O145" s="2"/>
      <c r="P145" s="2"/>
      <c r="Q145" s="2"/>
      <c r="R145" s="2" t="n">
        <f aca="false">P145*Q145</f>
        <v>0</v>
      </c>
      <c r="S145" s="2" t="str">
        <f aca="false">IF(R145&gt;=15,"Critical",IF(R145&gt;=9,"High",IF(R145&gt;=4,"Medium","Low")))</f>
        <v>Low</v>
      </c>
      <c r="T145" s="2"/>
      <c r="U145" s="2"/>
      <c r="V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 t="n">
        <f aca="false">J146*K146</f>
        <v>0</v>
      </c>
      <c r="M146" s="2" t="str">
        <f aca="false">IF(L146&gt;=15,"Critical",IF(L146&gt;=9,"High",IF(L146&gt;=4,"Medium","Low")))</f>
        <v>Low</v>
      </c>
      <c r="N146" s="2"/>
      <c r="O146" s="2"/>
      <c r="P146" s="2"/>
      <c r="Q146" s="2"/>
      <c r="R146" s="2" t="n">
        <f aca="false">P146*Q146</f>
        <v>0</v>
      </c>
      <c r="S146" s="2" t="str">
        <f aca="false">IF(R146&gt;=15,"Critical",IF(R146&gt;=9,"High",IF(R146&gt;=4,"Medium","Low")))</f>
        <v>Low</v>
      </c>
      <c r="T146" s="2"/>
      <c r="U146" s="2"/>
      <c r="V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 t="n">
        <f aca="false">J147*K147</f>
        <v>0</v>
      </c>
      <c r="M147" s="2" t="str">
        <f aca="false">IF(L147&gt;=15,"Critical",IF(L147&gt;=9,"High",IF(L147&gt;=4,"Medium","Low")))</f>
        <v>Low</v>
      </c>
      <c r="N147" s="2"/>
      <c r="O147" s="2"/>
      <c r="P147" s="2"/>
      <c r="Q147" s="2"/>
      <c r="R147" s="2" t="n">
        <f aca="false">P147*Q147</f>
        <v>0</v>
      </c>
      <c r="S147" s="2" t="str">
        <f aca="false">IF(R147&gt;=15,"Critical",IF(R147&gt;=9,"High",IF(R147&gt;=4,"Medium","Low")))</f>
        <v>Low</v>
      </c>
      <c r="T147" s="2"/>
      <c r="U147" s="2"/>
      <c r="V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 t="n">
        <f aca="false">J148*K148</f>
        <v>0</v>
      </c>
      <c r="M148" s="2" t="str">
        <f aca="false">IF(L148&gt;=15,"Critical",IF(L148&gt;=9,"High",IF(L148&gt;=4,"Medium","Low")))</f>
        <v>Low</v>
      </c>
      <c r="N148" s="2"/>
      <c r="O148" s="2"/>
      <c r="P148" s="2"/>
      <c r="Q148" s="2"/>
      <c r="R148" s="2" t="n">
        <f aca="false">P148*Q148</f>
        <v>0</v>
      </c>
      <c r="S148" s="2" t="str">
        <f aca="false">IF(R148&gt;=15,"Critical",IF(R148&gt;=9,"High",IF(R148&gt;=4,"Medium","Low")))</f>
        <v>Low</v>
      </c>
      <c r="T148" s="2"/>
      <c r="U148" s="2"/>
      <c r="V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 t="n">
        <f aca="false">J149*K149</f>
        <v>0</v>
      </c>
      <c r="M149" s="2" t="str">
        <f aca="false">IF(L149&gt;=15,"Critical",IF(L149&gt;=9,"High",IF(L149&gt;=4,"Medium","Low")))</f>
        <v>Low</v>
      </c>
      <c r="N149" s="2"/>
      <c r="O149" s="2"/>
      <c r="P149" s="2"/>
      <c r="Q149" s="2"/>
      <c r="R149" s="2" t="n">
        <f aca="false">P149*Q149</f>
        <v>0</v>
      </c>
      <c r="S149" s="2" t="str">
        <f aca="false">IF(R149&gt;=15,"Critical",IF(R149&gt;=9,"High",IF(R149&gt;=4,"Medium","Low")))</f>
        <v>Low</v>
      </c>
      <c r="T149" s="2"/>
      <c r="U149" s="2"/>
      <c r="V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 t="n">
        <f aca="false">J150*K150</f>
        <v>0</v>
      </c>
      <c r="M150" s="2" t="str">
        <f aca="false">IF(L150&gt;=15,"Critical",IF(L150&gt;=9,"High",IF(L150&gt;=4,"Medium","Low")))</f>
        <v>Low</v>
      </c>
      <c r="N150" s="2"/>
      <c r="O150" s="2"/>
      <c r="P150" s="2"/>
      <c r="Q150" s="2"/>
      <c r="R150" s="2" t="n">
        <f aca="false">P150*Q150</f>
        <v>0</v>
      </c>
      <c r="S150" s="2" t="str">
        <f aca="false">IF(R150&gt;=15,"Critical",IF(R150&gt;=9,"High",IF(R150&gt;=4,"Medium","Low")))</f>
        <v>Low</v>
      </c>
      <c r="T150" s="2"/>
      <c r="U150" s="2"/>
      <c r="V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 t="n">
        <f aca="false">J151*K151</f>
        <v>0</v>
      </c>
      <c r="M151" s="2" t="str">
        <f aca="false">IF(L151&gt;=15,"Critical",IF(L151&gt;=9,"High",IF(L151&gt;=4,"Medium","Low")))</f>
        <v>Low</v>
      </c>
      <c r="N151" s="2"/>
      <c r="O151" s="2"/>
      <c r="P151" s="2"/>
      <c r="Q151" s="2"/>
      <c r="R151" s="2" t="n">
        <f aca="false">P151*Q151</f>
        <v>0</v>
      </c>
      <c r="S151" s="2" t="str">
        <f aca="false">IF(R151&gt;=15,"Critical",IF(R151&gt;=9,"High",IF(R151&gt;=4,"Medium","Low")))</f>
        <v>Low</v>
      </c>
      <c r="T151" s="2"/>
      <c r="U151" s="2"/>
      <c r="V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 t="n">
        <f aca="false">J152*K152</f>
        <v>0</v>
      </c>
      <c r="M152" s="2" t="str">
        <f aca="false">IF(L152&gt;=15,"Critical",IF(L152&gt;=9,"High",IF(L152&gt;=4,"Medium","Low")))</f>
        <v>Low</v>
      </c>
      <c r="N152" s="2"/>
      <c r="O152" s="2"/>
      <c r="P152" s="2"/>
      <c r="Q152" s="2"/>
      <c r="R152" s="2" t="n">
        <f aca="false">P152*Q152</f>
        <v>0</v>
      </c>
      <c r="S152" s="2" t="str">
        <f aca="false">IF(R152&gt;=15,"Critical",IF(R152&gt;=9,"High",IF(R152&gt;=4,"Medium","Low")))</f>
        <v>Low</v>
      </c>
      <c r="T152" s="2"/>
      <c r="U152" s="2"/>
      <c r="V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 t="n">
        <f aca="false">J153*K153</f>
        <v>0</v>
      </c>
      <c r="M153" s="2" t="str">
        <f aca="false">IF(L153&gt;=15,"Critical",IF(L153&gt;=9,"High",IF(L153&gt;=4,"Medium","Low")))</f>
        <v>Low</v>
      </c>
      <c r="N153" s="2"/>
      <c r="O153" s="2"/>
      <c r="P153" s="2"/>
      <c r="Q153" s="2"/>
      <c r="R153" s="2" t="n">
        <f aca="false">P153*Q153</f>
        <v>0</v>
      </c>
      <c r="S153" s="2" t="str">
        <f aca="false">IF(R153&gt;=15,"Critical",IF(R153&gt;=9,"High",IF(R153&gt;=4,"Medium","Low")))</f>
        <v>Low</v>
      </c>
      <c r="T153" s="2"/>
      <c r="U153" s="2"/>
      <c r="V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 t="n">
        <f aca="false">J154*K154</f>
        <v>0</v>
      </c>
      <c r="M154" s="2" t="str">
        <f aca="false">IF(L154&gt;=15,"Critical",IF(L154&gt;=9,"High",IF(L154&gt;=4,"Medium","Low")))</f>
        <v>Low</v>
      </c>
      <c r="N154" s="2"/>
      <c r="O154" s="2"/>
      <c r="P154" s="2"/>
      <c r="Q154" s="2"/>
      <c r="R154" s="2" t="n">
        <f aca="false">P154*Q154</f>
        <v>0</v>
      </c>
      <c r="S154" s="2" t="str">
        <f aca="false">IF(R154&gt;=15,"Critical",IF(R154&gt;=9,"High",IF(R154&gt;=4,"Medium","Low")))</f>
        <v>Low</v>
      </c>
      <c r="T154" s="2"/>
      <c r="U154" s="2"/>
      <c r="V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 t="n">
        <f aca="false">J155*K155</f>
        <v>0</v>
      </c>
      <c r="M155" s="2" t="str">
        <f aca="false">IF(L155&gt;=15,"Critical",IF(L155&gt;=9,"High",IF(L155&gt;=4,"Medium","Low")))</f>
        <v>Low</v>
      </c>
      <c r="N155" s="2"/>
      <c r="O155" s="2"/>
      <c r="P155" s="2"/>
      <c r="Q155" s="2"/>
      <c r="R155" s="2" t="n">
        <f aca="false">P155*Q155</f>
        <v>0</v>
      </c>
      <c r="S155" s="2" t="str">
        <f aca="false">IF(R155&gt;=15,"Critical",IF(R155&gt;=9,"High",IF(R155&gt;=4,"Medium","Low")))</f>
        <v>Low</v>
      </c>
      <c r="T155" s="2"/>
      <c r="U155" s="2"/>
      <c r="V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 t="n">
        <f aca="false">J156*K156</f>
        <v>0</v>
      </c>
      <c r="M156" s="2" t="str">
        <f aca="false">IF(L156&gt;=15,"Critical",IF(L156&gt;=9,"High",IF(L156&gt;=4,"Medium","Low")))</f>
        <v>Low</v>
      </c>
      <c r="N156" s="2"/>
      <c r="O156" s="2"/>
      <c r="P156" s="2"/>
      <c r="Q156" s="2"/>
      <c r="R156" s="2" t="n">
        <f aca="false">P156*Q156</f>
        <v>0</v>
      </c>
      <c r="S156" s="2" t="str">
        <f aca="false">IF(R156&gt;=15,"Critical",IF(R156&gt;=9,"High",IF(R156&gt;=4,"Medium","Low")))</f>
        <v>Low</v>
      </c>
      <c r="T156" s="2"/>
      <c r="U156" s="2"/>
      <c r="V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 t="n">
        <f aca="false">J157*K157</f>
        <v>0</v>
      </c>
      <c r="M157" s="2" t="str">
        <f aca="false">IF(L157&gt;=15,"Critical",IF(L157&gt;=9,"High",IF(L157&gt;=4,"Medium","Low")))</f>
        <v>Low</v>
      </c>
      <c r="N157" s="2"/>
      <c r="O157" s="2"/>
      <c r="P157" s="2"/>
      <c r="Q157" s="2"/>
      <c r="R157" s="2" t="n">
        <f aca="false">P157*Q157</f>
        <v>0</v>
      </c>
      <c r="S157" s="2" t="str">
        <f aca="false">IF(R157&gt;=15,"Critical",IF(R157&gt;=9,"High",IF(R157&gt;=4,"Medium","Low")))</f>
        <v>Low</v>
      </c>
      <c r="T157" s="2"/>
      <c r="U157" s="2"/>
      <c r="V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 t="n">
        <f aca="false">J158*K158</f>
        <v>0</v>
      </c>
      <c r="M158" s="2" t="str">
        <f aca="false">IF(L158&gt;=15,"Critical",IF(L158&gt;=9,"High",IF(L158&gt;=4,"Medium","Low")))</f>
        <v>Low</v>
      </c>
      <c r="N158" s="2"/>
      <c r="O158" s="2"/>
      <c r="P158" s="2"/>
      <c r="Q158" s="2"/>
      <c r="R158" s="2" t="n">
        <f aca="false">P158*Q158</f>
        <v>0</v>
      </c>
      <c r="S158" s="2" t="str">
        <f aca="false">IF(R158&gt;=15,"Critical",IF(R158&gt;=9,"High",IF(R158&gt;=4,"Medium","Low")))</f>
        <v>Low</v>
      </c>
      <c r="T158" s="2"/>
      <c r="U158" s="2"/>
      <c r="V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 t="n">
        <f aca="false">J159*K159</f>
        <v>0</v>
      </c>
      <c r="M159" s="2" t="str">
        <f aca="false">IF(L159&gt;=15,"Critical",IF(L159&gt;=9,"High",IF(L159&gt;=4,"Medium","Low")))</f>
        <v>Low</v>
      </c>
      <c r="N159" s="2"/>
      <c r="O159" s="2"/>
      <c r="P159" s="2"/>
      <c r="Q159" s="2"/>
      <c r="R159" s="2" t="n">
        <f aca="false">P159*Q159</f>
        <v>0</v>
      </c>
      <c r="S159" s="2" t="str">
        <f aca="false">IF(R159&gt;=15,"Critical",IF(R159&gt;=9,"High",IF(R159&gt;=4,"Medium","Low")))</f>
        <v>Low</v>
      </c>
      <c r="T159" s="2"/>
      <c r="U159" s="2"/>
      <c r="V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 t="n">
        <f aca="false">J160*K160</f>
        <v>0</v>
      </c>
      <c r="M160" s="2" t="str">
        <f aca="false">IF(L160&gt;=15,"Critical",IF(L160&gt;=9,"High",IF(L160&gt;=4,"Medium","Low")))</f>
        <v>Low</v>
      </c>
      <c r="N160" s="2"/>
      <c r="O160" s="2"/>
      <c r="P160" s="2"/>
      <c r="Q160" s="2"/>
      <c r="R160" s="2" t="n">
        <f aca="false">P160*Q160</f>
        <v>0</v>
      </c>
      <c r="S160" s="2" t="str">
        <f aca="false">IF(R160&gt;=15,"Critical",IF(R160&gt;=9,"High",IF(R160&gt;=4,"Medium","Low")))</f>
        <v>Low</v>
      </c>
      <c r="T160" s="2"/>
      <c r="U160" s="2"/>
      <c r="V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 t="n">
        <f aca="false">J161*K161</f>
        <v>0</v>
      </c>
      <c r="M161" s="2" t="str">
        <f aca="false">IF(L161&gt;=15,"Critical",IF(L161&gt;=9,"High",IF(L161&gt;=4,"Medium","Low")))</f>
        <v>Low</v>
      </c>
      <c r="N161" s="2"/>
      <c r="O161" s="2"/>
      <c r="P161" s="2"/>
      <c r="Q161" s="2"/>
      <c r="R161" s="2" t="n">
        <f aca="false">P161*Q161</f>
        <v>0</v>
      </c>
      <c r="S161" s="2" t="str">
        <f aca="false">IF(R161&gt;=15,"Critical",IF(R161&gt;=9,"High",IF(R161&gt;=4,"Medium","Low")))</f>
        <v>Low</v>
      </c>
      <c r="T161" s="2"/>
      <c r="U161" s="2"/>
      <c r="V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 t="n">
        <f aca="false">J162*K162</f>
        <v>0</v>
      </c>
      <c r="M162" s="2" t="str">
        <f aca="false">IF(L162&gt;=15,"Critical",IF(L162&gt;=9,"High",IF(L162&gt;=4,"Medium","Low")))</f>
        <v>Low</v>
      </c>
      <c r="N162" s="2"/>
      <c r="O162" s="2"/>
      <c r="P162" s="2"/>
      <c r="Q162" s="2"/>
      <c r="R162" s="2" t="n">
        <f aca="false">P162*Q162</f>
        <v>0</v>
      </c>
      <c r="S162" s="2" t="str">
        <f aca="false">IF(R162&gt;=15,"Critical",IF(R162&gt;=9,"High",IF(R162&gt;=4,"Medium","Low")))</f>
        <v>Low</v>
      </c>
      <c r="T162" s="2"/>
      <c r="U162" s="2"/>
      <c r="V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 t="n">
        <f aca="false">J163*K163</f>
        <v>0</v>
      </c>
      <c r="M163" s="2" t="str">
        <f aca="false">IF(L163&gt;=15,"Critical",IF(L163&gt;=9,"High",IF(L163&gt;=4,"Medium","Low")))</f>
        <v>Low</v>
      </c>
      <c r="N163" s="2"/>
      <c r="O163" s="2"/>
      <c r="P163" s="2"/>
      <c r="Q163" s="2"/>
      <c r="R163" s="2" t="n">
        <f aca="false">P163*Q163</f>
        <v>0</v>
      </c>
      <c r="S163" s="2" t="str">
        <f aca="false">IF(R163&gt;=15,"Critical",IF(R163&gt;=9,"High",IF(R163&gt;=4,"Medium","Low")))</f>
        <v>Low</v>
      </c>
      <c r="T163" s="2"/>
      <c r="U163" s="2"/>
      <c r="V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 t="n">
        <f aca="false">J164*K164</f>
        <v>0</v>
      </c>
      <c r="M164" s="2" t="str">
        <f aca="false">IF(L164&gt;=15,"Critical",IF(L164&gt;=9,"High",IF(L164&gt;=4,"Medium","Low")))</f>
        <v>Low</v>
      </c>
      <c r="N164" s="2"/>
      <c r="O164" s="2"/>
      <c r="P164" s="2"/>
      <c r="Q164" s="2"/>
      <c r="R164" s="2" t="n">
        <f aca="false">P164*Q164</f>
        <v>0</v>
      </c>
      <c r="S164" s="2" t="str">
        <f aca="false">IF(R164&gt;=15,"Critical",IF(R164&gt;=9,"High",IF(R164&gt;=4,"Medium","Low")))</f>
        <v>Low</v>
      </c>
      <c r="T164" s="2"/>
      <c r="U164" s="2"/>
      <c r="V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 t="n">
        <f aca="false">J165*K165</f>
        <v>0</v>
      </c>
      <c r="M165" s="2" t="str">
        <f aca="false">IF(L165&gt;=15,"Critical",IF(L165&gt;=9,"High",IF(L165&gt;=4,"Medium","Low")))</f>
        <v>Low</v>
      </c>
      <c r="N165" s="2"/>
      <c r="O165" s="2"/>
      <c r="P165" s="2"/>
      <c r="Q165" s="2"/>
      <c r="R165" s="2" t="n">
        <f aca="false">P165*Q165</f>
        <v>0</v>
      </c>
      <c r="S165" s="2" t="str">
        <f aca="false">IF(R165&gt;=15,"Critical",IF(R165&gt;=9,"High",IF(R165&gt;=4,"Medium","Low")))</f>
        <v>Low</v>
      </c>
      <c r="T165" s="2"/>
      <c r="U165" s="2"/>
      <c r="V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 t="n">
        <f aca="false">J166*K166</f>
        <v>0</v>
      </c>
      <c r="M166" s="2" t="str">
        <f aca="false">IF(L166&gt;=15,"Critical",IF(L166&gt;=9,"High",IF(L166&gt;=4,"Medium","Low")))</f>
        <v>Low</v>
      </c>
      <c r="N166" s="2"/>
      <c r="O166" s="2"/>
      <c r="P166" s="2"/>
      <c r="Q166" s="2"/>
      <c r="R166" s="2" t="n">
        <f aca="false">P166*Q166</f>
        <v>0</v>
      </c>
      <c r="S166" s="2" t="str">
        <f aca="false">IF(R166&gt;=15,"Critical",IF(R166&gt;=9,"High",IF(R166&gt;=4,"Medium","Low")))</f>
        <v>Low</v>
      </c>
      <c r="T166" s="2"/>
      <c r="U166" s="2"/>
      <c r="V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 t="n">
        <f aca="false">J167*K167</f>
        <v>0</v>
      </c>
      <c r="M167" s="2" t="str">
        <f aca="false">IF(L167&gt;=15,"Critical",IF(L167&gt;=9,"High",IF(L167&gt;=4,"Medium","Low")))</f>
        <v>Low</v>
      </c>
      <c r="N167" s="2"/>
      <c r="O167" s="2"/>
      <c r="P167" s="2"/>
      <c r="Q167" s="2"/>
      <c r="R167" s="2" t="n">
        <f aca="false">P167*Q167</f>
        <v>0</v>
      </c>
      <c r="S167" s="2" t="str">
        <f aca="false">IF(R167&gt;=15,"Critical",IF(R167&gt;=9,"High",IF(R167&gt;=4,"Medium","Low")))</f>
        <v>Low</v>
      </c>
      <c r="T167" s="2"/>
      <c r="U167" s="2"/>
      <c r="V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 t="n">
        <f aca="false">J168*K168</f>
        <v>0</v>
      </c>
      <c r="M168" s="2" t="str">
        <f aca="false">IF(L168&gt;=15,"Critical",IF(L168&gt;=9,"High",IF(L168&gt;=4,"Medium","Low")))</f>
        <v>Low</v>
      </c>
      <c r="N168" s="2"/>
      <c r="O168" s="2"/>
      <c r="P168" s="2"/>
      <c r="Q168" s="2"/>
      <c r="R168" s="2" t="n">
        <f aca="false">P168*Q168</f>
        <v>0</v>
      </c>
      <c r="S168" s="2" t="str">
        <f aca="false">IF(R168&gt;=15,"Critical",IF(R168&gt;=9,"High",IF(R168&gt;=4,"Medium","Low")))</f>
        <v>Low</v>
      </c>
      <c r="T168" s="2"/>
      <c r="U168" s="2"/>
      <c r="V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 t="n">
        <f aca="false">J169*K169</f>
        <v>0</v>
      </c>
      <c r="M169" s="2" t="str">
        <f aca="false">IF(L169&gt;=15,"Critical",IF(L169&gt;=9,"High",IF(L169&gt;=4,"Medium","Low")))</f>
        <v>Low</v>
      </c>
      <c r="N169" s="2"/>
      <c r="O169" s="2"/>
      <c r="P169" s="2"/>
      <c r="Q169" s="2"/>
      <c r="R169" s="2" t="n">
        <f aca="false">P169*Q169</f>
        <v>0</v>
      </c>
      <c r="S169" s="2" t="str">
        <f aca="false">IF(R169&gt;=15,"Critical",IF(R169&gt;=9,"High",IF(R169&gt;=4,"Medium","Low")))</f>
        <v>Low</v>
      </c>
      <c r="T169" s="2"/>
      <c r="U169" s="2"/>
      <c r="V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 t="n">
        <f aca="false">J170*K170</f>
        <v>0</v>
      </c>
      <c r="M170" s="2" t="str">
        <f aca="false">IF(L170&gt;=15,"Critical",IF(L170&gt;=9,"High",IF(L170&gt;=4,"Medium","Low")))</f>
        <v>Low</v>
      </c>
      <c r="N170" s="2"/>
      <c r="O170" s="2"/>
      <c r="P170" s="2"/>
      <c r="Q170" s="2"/>
      <c r="R170" s="2" t="n">
        <f aca="false">P170*Q170</f>
        <v>0</v>
      </c>
      <c r="S170" s="2" t="str">
        <f aca="false">IF(R170&gt;=15,"Critical",IF(R170&gt;=9,"High",IF(R170&gt;=4,"Medium","Low")))</f>
        <v>Low</v>
      </c>
      <c r="T170" s="2"/>
      <c r="U170" s="2"/>
      <c r="V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 t="n">
        <f aca="false">J171*K171</f>
        <v>0</v>
      </c>
      <c r="M171" s="2" t="str">
        <f aca="false">IF(L171&gt;=15,"Critical",IF(L171&gt;=9,"High",IF(L171&gt;=4,"Medium","Low")))</f>
        <v>Low</v>
      </c>
      <c r="N171" s="2"/>
      <c r="O171" s="2"/>
      <c r="P171" s="2"/>
      <c r="Q171" s="2"/>
      <c r="R171" s="2" t="n">
        <f aca="false">P171*Q171</f>
        <v>0</v>
      </c>
      <c r="S171" s="2" t="str">
        <f aca="false">IF(R171&gt;=15,"Critical",IF(R171&gt;=9,"High",IF(R171&gt;=4,"Medium","Low")))</f>
        <v>Low</v>
      </c>
      <c r="T171" s="2"/>
      <c r="U171" s="2"/>
      <c r="V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 t="n">
        <f aca="false">J172*K172</f>
        <v>0</v>
      </c>
      <c r="M172" s="2" t="str">
        <f aca="false">IF(L172&gt;=15,"Critical",IF(L172&gt;=9,"High",IF(L172&gt;=4,"Medium","Low")))</f>
        <v>Low</v>
      </c>
      <c r="N172" s="2"/>
      <c r="O172" s="2"/>
      <c r="P172" s="2"/>
      <c r="Q172" s="2"/>
      <c r="R172" s="2" t="n">
        <f aca="false">P172*Q172</f>
        <v>0</v>
      </c>
      <c r="S172" s="2" t="str">
        <f aca="false">IF(R172&gt;=15,"Critical",IF(R172&gt;=9,"High",IF(R172&gt;=4,"Medium","Low")))</f>
        <v>Low</v>
      </c>
      <c r="T172" s="2"/>
      <c r="U172" s="2"/>
      <c r="V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 t="n">
        <f aca="false">J173*K173</f>
        <v>0</v>
      </c>
      <c r="M173" s="2" t="str">
        <f aca="false">IF(L173&gt;=15,"Critical",IF(L173&gt;=9,"High",IF(L173&gt;=4,"Medium","Low")))</f>
        <v>Low</v>
      </c>
      <c r="N173" s="2"/>
      <c r="O173" s="2"/>
      <c r="P173" s="2"/>
      <c r="Q173" s="2"/>
      <c r="R173" s="2" t="n">
        <f aca="false">P173*Q173</f>
        <v>0</v>
      </c>
      <c r="S173" s="2" t="str">
        <f aca="false">IF(R173&gt;=15,"Critical",IF(R173&gt;=9,"High",IF(R173&gt;=4,"Medium","Low")))</f>
        <v>Low</v>
      </c>
      <c r="T173" s="2"/>
      <c r="U173" s="2"/>
      <c r="V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 t="n">
        <f aca="false">J174*K174</f>
        <v>0</v>
      </c>
      <c r="M174" s="2" t="str">
        <f aca="false">IF(L174&gt;=15,"Critical",IF(L174&gt;=9,"High",IF(L174&gt;=4,"Medium","Low")))</f>
        <v>Low</v>
      </c>
      <c r="N174" s="2"/>
      <c r="O174" s="2"/>
      <c r="P174" s="2"/>
      <c r="Q174" s="2"/>
      <c r="R174" s="2" t="n">
        <f aca="false">P174*Q174</f>
        <v>0</v>
      </c>
      <c r="S174" s="2" t="str">
        <f aca="false">IF(R174&gt;=15,"Critical",IF(R174&gt;=9,"High",IF(R174&gt;=4,"Medium","Low")))</f>
        <v>Low</v>
      </c>
      <c r="T174" s="2"/>
      <c r="U174" s="2"/>
      <c r="V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 t="n">
        <f aca="false">J175*K175</f>
        <v>0</v>
      </c>
      <c r="M175" s="2" t="str">
        <f aca="false">IF(L175&gt;=15,"Critical",IF(L175&gt;=9,"High",IF(L175&gt;=4,"Medium","Low")))</f>
        <v>Low</v>
      </c>
      <c r="N175" s="2"/>
      <c r="O175" s="2"/>
      <c r="P175" s="2"/>
      <c r="Q175" s="2"/>
      <c r="R175" s="2" t="n">
        <f aca="false">P175*Q175</f>
        <v>0</v>
      </c>
      <c r="S175" s="2" t="str">
        <f aca="false">IF(R175&gt;=15,"Critical",IF(R175&gt;=9,"High",IF(R175&gt;=4,"Medium","Low")))</f>
        <v>Low</v>
      </c>
      <c r="T175" s="2"/>
      <c r="U175" s="2"/>
      <c r="V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 t="n">
        <f aca="false">J176*K176</f>
        <v>0</v>
      </c>
      <c r="M176" s="2" t="str">
        <f aca="false">IF(L176&gt;=15,"Critical",IF(L176&gt;=9,"High",IF(L176&gt;=4,"Medium","Low")))</f>
        <v>Low</v>
      </c>
      <c r="N176" s="2"/>
      <c r="O176" s="2"/>
      <c r="P176" s="2"/>
      <c r="Q176" s="2"/>
      <c r="R176" s="2" t="n">
        <f aca="false">P176*Q176</f>
        <v>0</v>
      </c>
      <c r="S176" s="2" t="str">
        <f aca="false">IF(R176&gt;=15,"Critical",IF(R176&gt;=9,"High",IF(R176&gt;=4,"Medium","Low")))</f>
        <v>Low</v>
      </c>
      <c r="T176" s="2"/>
      <c r="U176" s="2"/>
      <c r="V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 t="n">
        <f aca="false">J177*K177</f>
        <v>0</v>
      </c>
      <c r="M177" s="2" t="str">
        <f aca="false">IF(L177&gt;=15,"Critical",IF(L177&gt;=9,"High",IF(L177&gt;=4,"Medium","Low")))</f>
        <v>Low</v>
      </c>
      <c r="N177" s="2"/>
      <c r="O177" s="2"/>
      <c r="P177" s="2"/>
      <c r="Q177" s="2"/>
      <c r="R177" s="2" t="n">
        <f aca="false">P177*Q177</f>
        <v>0</v>
      </c>
      <c r="S177" s="2" t="str">
        <f aca="false">IF(R177&gt;=15,"Critical",IF(R177&gt;=9,"High",IF(R177&gt;=4,"Medium","Low")))</f>
        <v>Low</v>
      </c>
      <c r="T177" s="2"/>
      <c r="U177" s="2"/>
      <c r="V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 t="n">
        <f aca="false">J178*K178</f>
        <v>0</v>
      </c>
      <c r="M178" s="2" t="str">
        <f aca="false">IF(L178&gt;=15,"Critical",IF(L178&gt;=9,"High",IF(L178&gt;=4,"Medium","Low")))</f>
        <v>Low</v>
      </c>
      <c r="N178" s="2"/>
      <c r="O178" s="2"/>
      <c r="P178" s="2"/>
      <c r="Q178" s="2"/>
      <c r="R178" s="2" t="n">
        <f aca="false">P178*Q178</f>
        <v>0</v>
      </c>
      <c r="S178" s="2" t="str">
        <f aca="false">IF(R178&gt;=15,"Critical",IF(R178&gt;=9,"High",IF(R178&gt;=4,"Medium","Low")))</f>
        <v>Low</v>
      </c>
      <c r="T178" s="2"/>
      <c r="U178" s="2"/>
      <c r="V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 t="n">
        <f aca="false">J179*K179</f>
        <v>0</v>
      </c>
      <c r="M179" s="2" t="str">
        <f aca="false">IF(L179&gt;=15,"Critical",IF(L179&gt;=9,"High",IF(L179&gt;=4,"Medium","Low")))</f>
        <v>Low</v>
      </c>
      <c r="N179" s="2"/>
      <c r="O179" s="2"/>
      <c r="P179" s="2"/>
      <c r="Q179" s="2"/>
      <c r="R179" s="2" t="n">
        <f aca="false">P179*Q179</f>
        <v>0</v>
      </c>
      <c r="S179" s="2" t="str">
        <f aca="false">IF(R179&gt;=15,"Critical",IF(R179&gt;=9,"High",IF(R179&gt;=4,"Medium","Low")))</f>
        <v>Low</v>
      </c>
      <c r="T179" s="2"/>
      <c r="U179" s="2"/>
      <c r="V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 t="n">
        <f aca="false">J180*K180</f>
        <v>0</v>
      </c>
      <c r="M180" s="2" t="str">
        <f aca="false">IF(L180&gt;=15,"Critical",IF(L180&gt;=9,"High",IF(L180&gt;=4,"Medium","Low")))</f>
        <v>Low</v>
      </c>
      <c r="N180" s="2"/>
      <c r="O180" s="2"/>
      <c r="P180" s="2"/>
      <c r="Q180" s="2"/>
      <c r="R180" s="2" t="n">
        <f aca="false">P180*Q180</f>
        <v>0</v>
      </c>
      <c r="S180" s="2" t="str">
        <f aca="false">IF(R180&gt;=15,"Critical",IF(R180&gt;=9,"High",IF(R180&gt;=4,"Medium","Low")))</f>
        <v>Low</v>
      </c>
      <c r="T180" s="2"/>
      <c r="U180" s="2"/>
      <c r="V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 t="n">
        <f aca="false">J181*K181</f>
        <v>0</v>
      </c>
      <c r="M181" s="2" t="str">
        <f aca="false">IF(L181&gt;=15,"Critical",IF(L181&gt;=9,"High",IF(L181&gt;=4,"Medium","Low")))</f>
        <v>Low</v>
      </c>
      <c r="N181" s="2"/>
      <c r="O181" s="2"/>
      <c r="P181" s="2"/>
      <c r="Q181" s="2"/>
      <c r="R181" s="2" t="n">
        <f aca="false">P181*Q181</f>
        <v>0</v>
      </c>
      <c r="S181" s="2" t="str">
        <f aca="false">IF(R181&gt;=15,"Critical",IF(R181&gt;=9,"High",IF(R181&gt;=4,"Medium","Low")))</f>
        <v>Low</v>
      </c>
      <c r="T181" s="2"/>
      <c r="U181" s="2"/>
      <c r="V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 t="n">
        <f aca="false">J182*K182</f>
        <v>0</v>
      </c>
      <c r="M182" s="2" t="str">
        <f aca="false">IF(L182&gt;=15,"Critical",IF(L182&gt;=9,"High",IF(L182&gt;=4,"Medium","Low")))</f>
        <v>Low</v>
      </c>
      <c r="N182" s="2"/>
      <c r="O182" s="2"/>
      <c r="P182" s="2"/>
      <c r="Q182" s="2"/>
      <c r="R182" s="2" t="n">
        <f aca="false">P182*Q182</f>
        <v>0</v>
      </c>
      <c r="S182" s="2" t="str">
        <f aca="false">IF(R182&gt;=15,"Critical",IF(R182&gt;=9,"High",IF(R182&gt;=4,"Medium","Low")))</f>
        <v>Low</v>
      </c>
      <c r="T182" s="2"/>
      <c r="U182" s="2"/>
      <c r="V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 t="n">
        <f aca="false">J183*K183</f>
        <v>0</v>
      </c>
      <c r="M183" s="2" t="str">
        <f aca="false">IF(L183&gt;=15,"Critical",IF(L183&gt;=9,"High",IF(L183&gt;=4,"Medium","Low")))</f>
        <v>Low</v>
      </c>
      <c r="N183" s="2"/>
      <c r="O183" s="2"/>
      <c r="P183" s="2"/>
      <c r="Q183" s="2"/>
      <c r="R183" s="2" t="n">
        <f aca="false">P183*Q183</f>
        <v>0</v>
      </c>
      <c r="S183" s="2" t="str">
        <f aca="false">IF(R183&gt;=15,"Critical",IF(R183&gt;=9,"High",IF(R183&gt;=4,"Medium","Low")))</f>
        <v>Low</v>
      </c>
      <c r="T183" s="2"/>
      <c r="U183" s="2"/>
      <c r="V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 t="n">
        <f aca="false">J184*K184</f>
        <v>0</v>
      </c>
      <c r="M184" s="2" t="str">
        <f aca="false">IF(L184&gt;=15,"Critical",IF(L184&gt;=9,"High",IF(L184&gt;=4,"Medium","Low")))</f>
        <v>Low</v>
      </c>
      <c r="N184" s="2"/>
      <c r="O184" s="2"/>
      <c r="P184" s="2"/>
      <c r="Q184" s="2"/>
      <c r="R184" s="2" t="n">
        <f aca="false">P184*Q184</f>
        <v>0</v>
      </c>
      <c r="S184" s="2" t="str">
        <f aca="false">IF(R184&gt;=15,"Critical",IF(R184&gt;=9,"High",IF(R184&gt;=4,"Medium","Low")))</f>
        <v>Low</v>
      </c>
      <c r="T184" s="2"/>
      <c r="U184" s="2"/>
      <c r="V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 t="n">
        <f aca="false">J185*K185</f>
        <v>0</v>
      </c>
      <c r="M185" s="2" t="str">
        <f aca="false">IF(L185&gt;=15,"Critical",IF(L185&gt;=9,"High",IF(L185&gt;=4,"Medium","Low")))</f>
        <v>Low</v>
      </c>
      <c r="N185" s="2"/>
      <c r="O185" s="2"/>
      <c r="P185" s="2"/>
      <c r="Q185" s="2"/>
      <c r="R185" s="2" t="n">
        <f aca="false">P185*Q185</f>
        <v>0</v>
      </c>
      <c r="S185" s="2" t="str">
        <f aca="false">IF(R185&gt;=15,"Critical",IF(R185&gt;=9,"High",IF(R185&gt;=4,"Medium","Low")))</f>
        <v>Low</v>
      </c>
      <c r="T185" s="2"/>
      <c r="U185" s="2"/>
      <c r="V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 t="n">
        <f aca="false">J186*K186</f>
        <v>0</v>
      </c>
      <c r="M186" s="2" t="str">
        <f aca="false">IF(L186&gt;=15,"Critical",IF(L186&gt;=9,"High",IF(L186&gt;=4,"Medium","Low")))</f>
        <v>Low</v>
      </c>
      <c r="N186" s="2"/>
      <c r="O186" s="2"/>
      <c r="P186" s="2"/>
      <c r="Q186" s="2"/>
      <c r="R186" s="2" t="n">
        <f aca="false">P186*Q186</f>
        <v>0</v>
      </c>
      <c r="S186" s="2" t="str">
        <f aca="false">IF(R186&gt;=15,"Critical",IF(R186&gt;=9,"High",IF(R186&gt;=4,"Medium","Low")))</f>
        <v>Low</v>
      </c>
      <c r="T186" s="2"/>
      <c r="U186" s="2"/>
      <c r="V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 t="n">
        <f aca="false">J187*K187</f>
        <v>0</v>
      </c>
      <c r="M187" s="2" t="str">
        <f aca="false">IF(L187&gt;=15,"Critical",IF(L187&gt;=9,"High",IF(L187&gt;=4,"Medium","Low")))</f>
        <v>Low</v>
      </c>
      <c r="N187" s="2"/>
      <c r="O187" s="2"/>
      <c r="P187" s="2"/>
      <c r="Q187" s="2"/>
      <c r="R187" s="2" t="n">
        <f aca="false">P187*Q187</f>
        <v>0</v>
      </c>
      <c r="S187" s="2" t="str">
        <f aca="false">IF(R187&gt;=15,"Critical",IF(R187&gt;=9,"High",IF(R187&gt;=4,"Medium","Low")))</f>
        <v>Low</v>
      </c>
      <c r="T187" s="2"/>
      <c r="U187" s="2"/>
      <c r="V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 t="n">
        <f aca="false">J188*K188</f>
        <v>0</v>
      </c>
      <c r="M188" s="2" t="str">
        <f aca="false">IF(L188&gt;=15,"Critical",IF(L188&gt;=9,"High",IF(L188&gt;=4,"Medium","Low")))</f>
        <v>Low</v>
      </c>
      <c r="N188" s="2"/>
      <c r="O188" s="2"/>
      <c r="P188" s="2"/>
      <c r="Q188" s="2"/>
      <c r="R188" s="2" t="n">
        <f aca="false">P188*Q188</f>
        <v>0</v>
      </c>
      <c r="S188" s="2" t="str">
        <f aca="false">IF(R188&gt;=15,"Critical",IF(R188&gt;=9,"High",IF(R188&gt;=4,"Medium","Low")))</f>
        <v>Low</v>
      </c>
      <c r="T188" s="2"/>
      <c r="U188" s="2"/>
      <c r="V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 t="n">
        <f aca="false">J189*K189</f>
        <v>0</v>
      </c>
      <c r="M189" s="2" t="str">
        <f aca="false">IF(L189&gt;=15,"Critical",IF(L189&gt;=9,"High",IF(L189&gt;=4,"Medium","Low")))</f>
        <v>Low</v>
      </c>
      <c r="N189" s="2"/>
      <c r="O189" s="2"/>
      <c r="P189" s="2"/>
      <c r="Q189" s="2"/>
      <c r="R189" s="2" t="n">
        <f aca="false">P189*Q189</f>
        <v>0</v>
      </c>
      <c r="S189" s="2" t="str">
        <f aca="false">IF(R189&gt;=15,"Critical",IF(R189&gt;=9,"High",IF(R189&gt;=4,"Medium","Low")))</f>
        <v>Low</v>
      </c>
      <c r="T189" s="2"/>
      <c r="U189" s="2"/>
      <c r="V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 t="n">
        <f aca="false">J190*K190</f>
        <v>0</v>
      </c>
      <c r="M190" s="2" t="str">
        <f aca="false">IF(L190&gt;=15,"Critical",IF(L190&gt;=9,"High",IF(L190&gt;=4,"Medium","Low")))</f>
        <v>Low</v>
      </c>
      <c r="N190" s="2"/>
      <c r="O190" s="2"/>
      <c r="P190" s="2"/>
      <c r="Q190" s="2"/>
      <c r="R190" s="2" t="n">
        <f aca="false">P190*Q190</f>
        <v>0</v>
      </c>
      <c r="S190" s="2" t="str">
        <f aca="false">IF(R190&gt;=15,"Critical",IF(R190&gt;=9,"High",IF(R190&gt;=4,"Medium","Low")))</f>
        <v>Low</v>
      </c>
      <c r="T190" s="2"/>
      <c r="U190" s="2"/>
      <c r="V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 t="n">
        <f aca="false">J191*K191</f>
        <v>0</v>
      </c>
      <c r="M191" s="2" t="str">
        <f aca="false">IF(L191&gt;=15,"Critical",IF(L191&gt;=9,"High",IF(L191&gt;=4,"Medium","Low")))</f>
        <v>Low</v>
      </c>
      <c r="N191" s="2"/>
      <c r="O191" s="2"/>
      <c r="P191" s="2"/>
      <c r="Q191" s="2"/>
      <c r="R191" s="2" t="n">
        <f aca="false">P191*Q191</f>
        <v>0</v>
      </c>
      <c r="S191" s="2" t="str">
        <f aca="false">IF(R191&gt;=15,"Critical",IF(R191&gt;=9,"High",IF(R191&gt;=4,"Medium","Low")))</f>
        <v>Low</v>
      </c>
      <c r="T191" s="2"/>
      <c r="U191" s="2"/>
      <c r="V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 t="n">
        <f aca="false">J192*K192</f>
        <v>0</v>
      </c>
      <c r="M192" s="2" t="str">
        <f aca="false">IF(L192&gt;=15,"Critical",IF(L192&gt;=9,"High",IF(L192&gt;=4,"Medium","Low")))</f>
        <v>Low</v>
      </c>
      <c r="N192" s="2"/>
      <c r="O192" s="2"/>
      <c r="P192" s="2"/>
      <c r="Q192" s="2"/>
      <c r="R192" s="2" t="n">
        <f aca="false">P192*Q192</f>
        <v>0</v>
      </c>
      <c r="S192" s="2" t="str">
        <f aca="false">IF(R192&gt;=15,"Critical",IF(R192&gt;=9,"High",IF(R192&gt;=4,"Medium","Low")))</f>
        <v>Low</v>
      </c>
      <c r="T192" s="2"/>
      <c r="U192" s="2"/>
      <c r="V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 t="n">
        <f aca="false">J193*K193</f>
        <v>0</v>
      </c>
      <c r="M193" s="2" t="str">
        <f aca="false">IF(L193&gt;=15,"Critical",IF(L193&gt;=9,"High",IF(L193&gt;=4,"Medium","Low")))</f>
        <v>Low</v>
      </c>
      <c r="N193" s="2"/>
      <c r="O193" s="2"/>
      <c r="P193" s="2"/>
      <c r="Q193" s="2"/>
      <c r="R193" s="2" t="n">
        <f aca="false">P193*Q193</f>
        <v>0</v>
      </c>
      <c r="S193" s="2" t="str">
        <f aca="false">IF(R193&gt;=15,"Critical",IF(R193&gt;=9,"High",IF(R193&gt;=4,"Medium","Low")))</f>
        <v>Low</v>
      </c>
      <c r="T193" s="2"/>
      <c r="U193" s="2"/>
      <c r="V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 t="n">
        <f aca="false">J194*K194</f>
        <v>0</v>
      </c>
      <c r="M194" s="2" t="str">
        <f aca="false">IF(L194&gt;=15,"Critical",IF(L194&gt;=9,"High",IF(L194&gt;=4,"Medium","Low")))</f>
        <v>Low</v>
      </c>
      <c r="N194" s="2"/>
      <c r="O194" s="2"/>
      <c r="P194" s="2"/>
      <c r="Q194" s="2"/>
      <c r="R194" s="2" t="n">
        <f aca="false">P194*Q194</f>
        <v>0</v>
      </c>
      <c r="S194" s="2" t="str">
        <f aca="false">IF(R194&gt;=15,"Critical",IF(R194&gt;=9,"High",IF(R194&gt;=4,"Medium","Low")))</f>
        <v>Low</v>
      </c>
      <c r="T194" s="2"/>
      <c r="U194" s="2"/>
      <c r="V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 t="n">
        <f aca="false">J195*K195</f>
        <v>0</v>
      </c>
      <c r="M195" s="2" t="str">
        <f aca="false">IF(L195&gt;=15,"Critical",IF(L195&gt;=9,"High",IF(L195&gt;=4,"Medium","Low")))</f>
        <v>Low</v>
      </c>
      <c r="N195" s="2"/>
      <c r="O195" s="2"/>
      <c r="P195" s="2"/>
      <c r="Q195" s="2"/>
      <c r="R195" s="2" t="n">
        <f aca="false">P195*Q195</f>
        <v>0</v>
      </c>
      <c r="S195" s="2" t="str">
        <f aca="false">IF(R195&gt;=15,"Critical",IF(R195&gt;=9,"High",IF(R195&gt;=4,"Medium","Low")))</f>
        <v>Low</v>
      </c>
      <c r="T195" s="2"/>
      <c r="U195" s="2"/>
      <c r="V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 t="n">
        <f aca="false">J196*K196</f>
        <v>0</v>
      </c>
      <c r="M196" s="2" t="str">
        <f aca="false">IF(L196&gt;=15,"Critical",IF(L196&gt;=9,"High",IF(L196&gt;=4,"Medium","Low")))</f>
        <v>Low</v>
      </c>
      <c r="N196" s="2"/>
      <c r="O196" s="2"/>
      <c r="P196" s="2"/>
      <c r="Q196" s="2"/>
      <c r="R196" s="2" t="n">
        <f aca="false">P196*Q196</f>
        <v>0</v>
      </c>
      <c r="S196" s="2" t="str">
        <f aca="false">IF(R196&gt;=15,"Critical",IF(R196&gt;=9,"High",IF(R196&gt;=4,"Medium","Low")))</f>
        <v>Low</v>
      </c>
      <c r="T196" s="2"/>
      <c r="U196" s="2"/>
      <c r="V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 t="n">
        <f aca="false">J197*K197</f>
        <v>0</v>
      </c>
      <c r="M197" s="2" t="str">
        <f aca="false">IF(L197&gt;=15,"Critical",IF(L197&gt;=9,"High",IF(L197&gt;=4,"Medium","Low")))</f>
        <v>Low</v>
      </c>
      <c r="N197" s="2"/>
      <c r="O197" s="2"/>
      <c r="P197" s="2"/>
      <c r="Q197" s="2"/>
      <c r="R197" s="2" t="n">
        <f aca="false">P197*Q197</f>
        <v>0</v>
      </c>
      <c r="S197" s="2" t="str">
        <f aca="false">IF(R197&gt;=15,"Critical",IF(R197&gt;=9,"High",IF(R197&gt;=4,"Medium","Low")))</f>
        <v>Low</v>
      </c>
      <c r="T197" s="2"/>
      <c r="U197" s="2"/>
      <c r="V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 t="n">
        <f aca="false">J198*K198</f>
        <v>0</v>
      </c>
      <c r="M198" s="2" t="str">
        <f aca="false">IF(L198&gt;=15,"Critical",IF(L198&gt;=9,"High",IF(L198&gt;=4,"Medium","Low")))</f>
        <v>Low</v>
      </c>
      <c r="N198" s="2"/>
      <c r="O198" s="2"/>
      <c r="P198" s="2"/>
      <c r="Q198" s="2"/>
      <c r="R198" s="2" t="n">
        <f aca="false">P198*Q198</f>
        <v>0</v>
      </c>
      <c r="S198" s="2" t="str">
        <f aca="false">IF(R198&gt;=15,"Critical",IF(R198&gt;=9,"High",IF(R198&gt;=4,"Medium","Low")))</f>
        <v>Low</v>
      </c>
      <c r="T198" s="2"/>
      <c r="U198" s="2"/>
      <c r="V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 t="n">
        <f aca="false">J199*K199</f>
        <v>0</v>
      </c>
      <c r="M199" s="2" t="str">
        <f aca="false">IF(L199&gt;=15,"Critical",IF(L199&gt;=9,"High",IF(L199&gt;=4,"Medium","Low")))</f>
        <v>Low</v>
      </c>
      <c r="N199" s="2"/>
      <c r="O199" s="2"/>
      <c r="P199" s="2"/>
      <c r="Q199" s="2"/>
      <c r="R199" s="2" t="n">
        <f aca="false">P199*Q199</f>
        <v>0</v>
      </c>
      <c r="S199" s="2" t="str">
        <f aca="false">IF(R199&gt;=15,"Critical",IF(R199&gt;=9,"High",IF(R199&gt;=4,"Medium","Low")))</f>
        <v>Low</v>
      </c>
      <c r="T199" s="2"/>
      <c r="U199" s="2"/>
      <c r="V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 t="n">
        <f aca="false">J200*K200</f>
        <v>0</v>
      </c>
      <c r="M200" s="2" t="str">
        <f aca="false">IF(L200&gt;=15,"Critical",IF(L200&gt;=9,"High",IF(L200&gt;=4,"Medium","Low")))</f>
        <v>Low</v>
      </c>
      <c r="N200" s="2"/>
      <c r="O200" s="2"/>
      <c r="P200" s="2"/>
      <c r="Q200" s="2"/>
      <c r="R200" s="2" t="n">
        <f aca="false">P200*Q200</f>
        <v>0</v>
      </c>
      <c r="S200" s="2" t="str">
        <f aca="false">IF(R200&gt;=15,"Critical",IF(R200&gt;=9,"High",IF(R200&gt;=4,"Medium","Low")))</f>
        <v>Low</v>
      </c>
      <c r="T200" s="2"/>
      <c r="U200" s="2"/>
      <c r="V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 t="n">
        <f aca="false">J201*K201</f>
        <v>0</v>
      </c>
      <c r="M201" s="2" t="str">
        <f aca="false">IF(L201&gt;=15,"Critical",IF(L201&gt;=9,"High",IF(L201&gt;=4,"Medium","Low")))</f>
        <v>Low</v>
      </c>
      <c r="N201" s="2"/>
      <c r="O201" s="2"/>
      <c r="P201" s="2"/>
      <c r="Q201" s="2"/>
      <c r="R201" s="2" t="n">
        <f aca="false">P201*Q201</f>
        <v>0</v>
      </c>
      <c r="S201" s="2" t="str">
        <f aca="false">IF(R201&gt;=15,"Critical",IF(R201&gt;=9,"High",IF(R201&gt;=4,"Medium","Low")))</f>
        <v>Low</v>
      </c>
      <c r="T201" s="2"/>
      <c r="U201" s="2"/>
      <c r="V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 t="n">
        <f aca="false">J202*K202</f>
        <v>0</v>
      </c>
      <c r="M202" s="2" t="str">
        <f aca="false">IF(L202&gt;=15,"Critical",IF(L202&gt;=9,"High",IF(L202&gt;=4,"Medium","Low")))</f>
        <v>Low</v>
      </c>
      <c r="N202" s="2"/>
      <c r="O202" s="2"/>
      <c r="P202" s="2"/>
      <c r="Q202" s="2"/>
      <c r="R202" s="2" t="n">
        <f aca="false">P202*Q202</f>
        <v>0</v>
      </c>
      <c r="S202" s="2" t="str">
        <f aca="false">IF(R202&gt;=15,"Critical",IF(R202&gt;=9,"High",IF(R202&gt;=4,"Medium","Low")))</f>
        <v>Low</v>
      </c>
      <c r="T202" s="2"/>
      <c r="U202" s="2"/>
      <c r="V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 t="n">
        <f aca="false">J203*K203</f>
        <v>0</v>
      </c>
      <c r="M203" s="2" t="str">
        <f aca="false">IF(L203&gt;=15,"Critical",IF(L203&gt;=9,"High",IF(L203&gt;=4,"Medium","Low")))</f>
        <v>Low</v>
      </c>
      <c r="N203" s="2"/>
      <c r="O203" s="2"/>
      <c r="P203" s="2"/>
      <c r="Q203" s="2"/>
      <c r="R203" s="2" t="n">
        <f aca="false">P203*Q203</f>
        <v>0</v>
      </c>
      <c r="S203" s="2" t="str">
        <f aca="false">IF(R203&gt;=15,"Critical",IF(R203&gt;=9,"High",IF(R203&gt;=4,"Medium","Low")))</f>
        <v>Low</v>
      </c>
      <c r="T203" s="2"/>
      <c r="U203" s="2"/>
      <c r="V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 t="n">
        <f aca="false">J204*K204</f>
        <v>0</v>
      </c>
      <c r="M204" s="2" t="str">
        <f aca="false">IF(L204&gt;=15,"Critical",IF(L204&gt;=9,"High",IF(L204&gt;=4,"Medium","Low")))</f>
        <v>Low</v>
      </c>
      <c r="N204" s="2"/>
      <c r="O204" s="2"/>
      <c r="P204" s="2"/>
      <c r="Q204" s="2"/>
      <c r="R204" s="2" t="n">
        <f aca="false">P204*Q204</f>
        <v>0</v>
      </c>
      <c r="S204" s="2" t="str">
        <f aca="false">IF(R204&gt;=15,"Critical",IF(R204&gt;=9,"High",IF(R204&gt;=4,"Medium","Low")))</f>
        <v>Low</v>
      </c>
      <c r="T204" s="2"/>
      <c r="U204" s="2"/>
      <c r="V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 t="n">
        <f aca="false">J205*K205</f>
        <v>0</v>
      </c>
      <c r="M205" s="2" t="str">
        <f aca="false">IF(L205&gt;=15,"Critical",IF(L205&gt;=9,"High",IF(L205&gt;=4,"Medium","Low")))</f>
        <v>Low</v>
      </c>
      <c r="N205" s="2"/>
      <c r="O205" s="2"/>
      <c r="P205" s="2"/>
      <c r="Q205" s="2"/>
      <c r="R205" s="2" t="n">
        <f aca="false">P205*Q205</f>
        <v>0</v>
      </c>
      <c r="S205" s="2" t="str">
        <f aca="false">IF(R205&gt;=15,"Critical",IF(R205&gt;=9,"High",IF(R205&gt;=4,"Medium","Low")))</f>
        <v>Low</v>
      </c>
      <c r="T205" s="2"/>
      <c r="U205" s="2"/>
      <c r="V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 t="n">
        <f aca="false">J206*K206</f>
        <v>0</v>
      </c>
      <c r="M206" s="2" t="str">
        <f aca="false">IF(L206&gt;=15,"Critical",IF(L206&gt;=9,"High",IF(L206&gt;=4,"Medium","Low")))</f>
        <v>Low</v>
      </c>
      <c r="N206" s="2"/>
      <c r="O206" s="2"/>
      <c r="P206" s="2"/>
      <c r="Q206" s="2"/>
      <c r="R206" s="2" t="n">
        <f aca="false">P206*Q206</f>
        <v>0</v>
      </c>
      <c r="S206" s="2" t="str">
        <f aca="false">IF(R206&gt;=15,"Critical",IF(R206&gt;=9,"High",IF(R206&gt;=4,"Medium","Low")))</f>
        <v>Low</v>
      </c>
      <c r="T206" s="2"/>
      <c r="U206" s="2"/>
      <c r="V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 t="n">
        <f aca="false">J207*K207</f>
        <v>0</v>
      </c>
      <c r="M207" s="2" t="str">
        <f aca="false">IF(L207&gt;=15,"Critical",IF(L207&gt;=9,"High",IF(L207&gt;=4,"Medium","Low")))</f>
        <v>Low</v>
      </c>
      <c r="N207" s="2"/>
      <c r="O207" s="2"/>
      <c r="P207" s="2"/>
      <c r="Q207" s="2"/>
      <c r="R207" s="2" t="n">
        <f aca="false">P207*Q207</f>
        <v>0</v>
      </c>
      <c r="S207" s="2" t="str">
        <f aca="false">IF(R207&gt;=15,"Critical",IF(R207&gt;=9,"High",IF(R207&gt;=4,"Medium","Low")))</f>
        <v>Low</v>
      </c>
      <c r="T207" s="2"/>
      <c r="U207" s="2"/>
      <c r="V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 t="n">
        <f aca="false">J208*K208</f>
        <v>0</v>
      </c>
      <c r="M208" s="2" t="str">
        <f aca="false">IF(L208&gt;=15,"Critical",IF(L208&gt;=9,"High",IF(L208&gt;=4,"Medium","Low")))</f>
        <v>Low</v>
      </c>
      <c r="N208" s="2"/>
      <c r="O208" s="2"/>
      <c r="P208" s="2"/>
      <c r="Q208" s="2"/>
      <c r="R208" s="2" t="n">
        <f aca="false">P208*Q208</f>
        <v>0</v>
      </c>
      <c r="S208" s="2" t="str">
        <f aca="false">IF(R208&gt;=15,"Critical",IF(R208&gt;=9,"High",IF(R208&gt;=4,"Medium","Low")))</f>
        <v>Low</v>
      </c>
      <c r="T208" s="2"/>
      <c r="U208" s="2"/>
      <c r="V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 t="n">
        <f aca="false">J209*K209</f>
        <v>0</v>
      </c>
      <c r="M209" s="2" t="str">
        <f aca="false">IF(L209&gt;=15,"Critical",IF(L209&gt;=9,"High",IF(L209&gt;=4,"Medium","Low")))</f>
        <v>Low</v>
      </c>
      <c r="N209" s="2"/>
      <c r="O209" s="2"/>
      <c r="P209" s="2"/>
      <c r="Q209" s="2"/>
      <c r="R209" s="2" t="n">
        <f aca="false">P209*Q209</f>
        <v>0</v>
      </c>
      <c r="S209" s="2" t="str">
        <f aca="false">IF(R209&gt;=15,"Critical",IF(R209&gt;=9,"High",IF(R209&gt;=4,"Medium","Low")))</f>
        <v>Low</v>
      </c>
      <c r="T209" s="2"/>
      <c r="U209" s="2"/>
      <c r="V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 t="n">
        <f aca="false">J210*K210</f>
        <v>0</v>
      </c>
      <c r="M210" s="2" t="str">
        <f aca="false">IF(L210&gt;=15,"Critical",IF(L210&gt;=9,"High",IF(L210&gt;=4,"Medium","Low")))</f>
        <v>Low</v>
      </c>
      <c r="N210" s="2"/>
      <c r="O210" s="2"/>
      <c r="P210" s="2"/>
      <c r="Q210" s="2"/>
      <c r="R210" s="2" t="n">
        <f aca="false">P210*Q210</f>
        <v>0</v>
      </c>
      <c r="S210" s="2" t="str">
        <f aca="false">IF(R210&gt;=15,"Critical",IF(R210&gt;=9,"High",IF(R210&gt;=4,"Medium","Low")))</f>
        <v>Low</v>
      </c>
      <c r="T210" s="2"/>
      <c r="U210" s="2"/>
      <c r="V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 t="n">
        <f aca="false">J211*K211</f>
        <v>0</v>
      </c>
      <c r="M211" s="2" t="str">
        <f aca="false">IF(L211&gt;=15,"Critical",IF(L211&gt;=9,"High",IF(L211&gt;=4,"Medium","Low")))</f>
        <v>Low</v>
      </c>
      <c r="N211" s="2"/>
      <c r="O211" s="2"/>
      <c r="P211" s="2"/>
      <c r="Q211" s="2"/>
      <c r="R211" s="2" t="n">
        <f aca="false">P211*Q211</f>
        <v>0</v>
      </c>
      <c r="S211" s="2" t="str">
        <f aca="false">IF(R211&gt;=15,"Critical",IF(R211&gt;=9,"High",IF(R211&gt;=4,"Medium","Low")))</f>
        <v>Low</v>
      </c>
      <c r="T211" s="2"/>
      <c r="U211" s="2"/>
      <c r="V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 t="n">
        <f aca="false">J212*K212</f>
        <v>0</v>
      </c>
      <c r="M212" s="2" t="str">
        <f aca="false">IF(L212&gt;=15,"Critical",IF(L212&gt;=9,"High",IF(L212&gt;=4,"Medium","Low")))</f>
        <v>Low</v>
      </c>
      <c r="N212" s="2"/>
      <c r="O212" s="2"/>
      <c r="P212" s="2"/>
      <c r="Q212" s="2"/>
      <c r="R212" s="2" t="n">
        <f aca="false">P212*Q212</f>
        <v>0</v>
      </c>
      <c r="S212" s="2" t="str">
        <f aca="false">IF(R212&gt;=15,"Critical",IF(R212&gt;=9,"High",IF(R212&gt;=4,"Medium","Low")))</f>
        <v>Low</v>
      </c>
      <c r="T212" s="2"/>
      <c r="U212" s="2"/>
      <c r="V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 t="n">
        <f aca="false">J213*K213</f>
        <v>0</v>
      </c>
      <c r="M213" s="2" t="str">
        <f aca="false">IF(L213&gt;=15,"Critical",IF(L213&gt;=9,"High",IF(L213&gt;=4,"Medium","Low")))</f>
        <v>Low</v>
      </c>
      <c r="N213" s="2"/>
      <c r="O213" s="2"/>
      <c r="P213" s="2"/>
      <c r="Q213" s="2"/>
      <c r="R213" s="2" t="n">
        <f aca="false">P213*Q213</f>
        <v>0</v>
      </c>
      <c r="S213" s="2" t="str">
        <f aca="false">IF(R213&gt;=15,"Critical",IF(R213&gt;=9,"High",IF(R213&gt;=4,"Medium","Low")))</f>
        <v>Low</v>
      </c>
      <c r="T213" s="2"/>
      <c r="U213" s="2"/>
      <c r="V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 t="n">
        <f aca="false">J214*K214</f>
        <v>0</v>
      </c>
      <c r="M214" s="2" t="str">
        <f aca="false">IF(L214&gt;=15,"Critical",IF(L214&gt;=9,"High",IF(L214&gt;=4,"Medium","Low")))</f>
        <v>Low</v>
      </c>
      <c r="N214" s="2"/>
      <c r="O214" s="2"/>
      <c r="P214" s="2"/>
      <c r="Q214" s="2"/>
      <c r="R214" s="2" t="n">
        <f aca="false">P214*Q214</f>
        <v>0</v>
      </c>
      <c r="S214" s="2" t="str">
        <f aca="false">IF(R214&gt;=15,"Critical",IF(R214&gt;=9,"High",IF(R214&gt;=4,"Medium","Low")))</f>
        <v>Low</v>
      </c>
      <c r="T214" s="2"/>
      <c r="U214" s="2"/>
      <c r="V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 t="n">
        <f aca="false">J215*K215</f>
        <v>0</v>
      </c>
      <c r="M215" s="2" t="str">
        <f aca="false">IF(L215&gt;=15,"Critical",IF(L215&gt;=9,"High",IF(L215&gt;=4,"Medium","Low")))</f>
        <v>Low</v>
      </c>
      <c r="N215" s="2"/>
      <c r="O215" s="2"/>
      <c r="P215" s="2"/>
      <c r="Q215" s="2"/>
      <c r="R215" s="2" t="n">
        <f aca="false">P215*Q215</f>
        <v>0</v>
      </c>
      <c r="S215" s="2" t="str">
        <f aca="false">IF(R215&gt;=15,"Critical",IF(R215&gt;=9,"High",IF(R215&gt;=4,"Medium","Low")))</f>
        <v>Low</v>
      </c>
      <c r="T215" s="2"/>
      <c r="U215" s="2"/>
      <c r="V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 t="n">
        <f aca="false">J216*K216</f>
        <v>0</v>
      </c>
      <c r="M216" s="2" t="str">
        <f aca="false">IF(L216&gt;=15,"Critical",IF(L216&gt;=9,"High",IF(L216&gt;=4,"Medium","Low")))</f>
        <v>Low</v>
      </c>
      <c r="N216" s="2"/>
      <c r="O216" s="2"/>
      <c r="P216" s="2"/>
      <c r="Q216" s="2"/>
      <c r="R216" s="2" t="n">
        <f aca="false">P216*Q216</f>
        <v>0</v>
      </c>
      <c r="S216" s="2" t="str">
        <f aca="false">IF(R216&gt;=15,"Critical",IF(R216&gt;=9,"High",IF(R216&gt;=4,"Medium","Low")))</f>
        <v>Low</v>
      </c>
      <c r="T216" s="2"/>
      <c r="U216" s="2"/>
      <c r="V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 t="n">
        <f aca="false">J217*K217</f>
        <v>0</v>
      </c>
      <c r="M217" s="2" t="str">
        <f aca="false">IF(L217&gt;=15,"Critical",IF(L217&gt;=9,"High",IF(L217&gt;=4,"Medium","Low")))</f>
        <v>Low</v>
      </c>
      <c r="N217" s="2"/>
      <c r="O217" s="2"/>
      <c r="P217" s="2"/>
      <c r="Q217" s="2"/>
      <c r="R217" s="2" t="n">
        <f aca="false">P217*Q217</f>
        <v>0</v>
      </c>
      <c r="S217" s="2" t="str">
        <f aca="false">IF(R217&gt;=15,"Critical",IF(R217&gt;=9,"High",IF(R217&gt;=4,"Medium","Low")))</f>
        <v>Low</v>
      </c>
      <c r="T217" s="2"/>
      <c r="U217" s="2"/>
      <c r="V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 t="n">
        <f aca="false">J218*K218</f>
        <v>0</v>
      </c>
      <c r="M218" s="2" t="str">
        <f aca="false">IF(L218&gt;=15,"Critical",IF(L218&gt;=9,"High",IF(L218&gt;=4,"Medium","Low")))</f>
        <v>Low</v>
      </c>
      <c r="N218" s="2"/>
      <c r="O218" s="2"/>
      <c r="P218" s="2"/>
      <c r="Q218" s="2"/>
      <c r="R218" s="2" t="n">
        <f aca="false">P218*Q218</f>
        <v>0</v>
      </c>
      <c r="S218" s="2" t="str">
        <f aca="false">IF(R218&gt;=15,"Critical",IF(R218&gt;=9,"High",IF(R218&gt;=4,"Medium","Low")))</f>
        <v>Low</v>
      </c>
      <c r="T218" s="2"/>
      <c r="U218" s="2"/>
      <c r="V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 t="n">
        <f aca="false">J219*K219</f>
        <v>0</v>
      </c>
      <c r="M219" s="2" t="str">
        <f aca="false">IF(L219&gt;=15,"Critical",IF(L219&gt;=9,"High",IF(L219&gt;=4,"Medium","Low")))</f>
        <v>Low</v>
      </c>
      <c r="N219" s="2"/>
      <c r="O219" s="2"/>
      <c r="P219" s="2"/>
      <c r="Q219" s="2"/>
      <c r="R219" s="2" t="n">
        <f aca="false">P219*Q219</f>
        <v>0</v>
      </c>
      <c r="S219" s="2" t="str">
        <f aca="false">IF(R219&gt;=15,"Critical",IF(R219&gt;=9,"High",IF(R219&gt;=4,"Medium","Low")))</f>
        <v>Low</v>
      </c>
      <c r="T219" s="2"/>
      <c r="U219" s="2"/>
      <c r="V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 t="n">
        <f aca="false">J220*K220</f>
        <v>0</v>
      </c>
      <c r="M220" s="2" t="str">
        <f aca="false">IF(L220&gt;=15,"Critical",IF(L220&gt;=9,"High",IF(L220&gt;=4,"Medium","Low")))</f>
        <v>Low</v>
      </c>
      <c r="N220" s="2"/>
      <c r="O220" s="2"/>
      <c r="P220" s="2"/>
      <c r="Q220" s="2"/>
      <c r="R220" s="2" t="n">
        <f aca="false">P220*Q220</f>
        <v>0</v>
      </c>
      <c r="S220" s="2" t="str">
        <f aca="false">IF(R220&gt;=15,"Critical",IF(R220&gt;=9,"High",IF(R220&gt;=4,"Medium","Low")))</f>
        <v>Low</v>
      </c>
      <c r="T220" s="2"/>
      <c r="U220" s="2"/>
      <c r="V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 t="n">
        <f aca="false">J221*K221</f>
        <v>0</v>
      </c>
      <c r="M221" s="2" t="str">
        <f aca="false">IF(L221&gt;=15,"Critical",IF(L221&gt;=9,"High",IF(L221&gt;=4,"Medium","Low")))</f>
        <v>Low</v>
      </c>
      <c r="N221" s="2"/>
      <c r="O221" s="2"/>
      <c r="P221" s="2"/>
      <c r="Q221" s="2"/>
      <c r="R221" s="2" t="n">
        <f aca="false">P221*Q221</f>
        <v>0</v>
      </c>
      <c r="S221" s="2" t="str">
        <f aca="false">IF(R221&gt;=15,"Critical",IF(R221&gt;=9,"High",IF(R221&gt;=4,"Medium","Low")))</f>
        <v>Low</v>
      </c>
      <c r="T221" s="2"/>
      <c r="U221" s="2"/>
      <c r="V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 t="n">
        <f aca="false">J222*K222</f>
        <v>0</v>
      </c>
      <c r="M222" s="2" t="str">
        <f aca="false">IF(L222&gt;=15,"Critical",IF(L222&gt;=9,"High",IF(L222&gt;=4,"Medium","Low")))</f>
        <v>Low</v>
      </c>
      <c r="N222" s="2"/>
      <c r="O222" s="2"/>
      <c r="P222" s="2"/>
      <c r="Q222" s="2"/>
      <c r="R222" s="2" t="n">
        <f aca="false">P222*Q222</f>
        <v>0</v>
      </c>
      <c r="S222" s="2" t="str">
        <f aca="false">IF(R222&gt;=15,"Critical",IF(R222&gt;=9,"High",IF(R222&gt;=4,"Medium","Low")))</f>
        <v>Low</v>
      </c>
      <c r="T222" s="2"/>
      <c r="U222" s="2"/>
      <c r="V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 t="n">
        <f aca="false">J223*K223</f>
        <v>0</v>
      </c>
      <c r="M223" s="2" t="str">
        <f aca="false">IF(L223&gt;=15,"Critical",IF(L223&gt;=9,"High",IF(L223&gt;=4,"Medium","Low")))</f>
        <v>Low</v>
      </c>
      <c r="N223" s="2"/>
      <c r="O223" s="2"/>
      <c r="P223" s="2"/>
      <c r="Q223" s="2"/>
      <c r="R223" s="2" t="n">
        <f aca="false">P223*Q223</f>
        <v>0</v>
      </c>
      <c r="S223" s="2" t="str">
        <f aca="false">IF(R223&gt;=15,"Critical",IF(R223&gt;=9,"High",IF(R223&gt;=4,"Medium","Low")))</f>
        <v>Low</v>
      </c>
      <c r="T223" s="2"/>
      <c r="U223" s="2"/>
      <c r="V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 t="n">
        <f aca="false">J224*K224</f>
        <v>0</v>
      </c>
      <c r="M224" s="2" t="str">
        <f aca="false">IF(L224&gt;=15,"Critical",IF(L224&gt;=9,"High",IF(L224&gt;=4,"Medium","Low")))</f>
        <v>Low</v>
      </c>
      <c r="N224" s="2"/>
      <c r="O224" s="2"/>
      <c r="P224" s="2"/>
      <c r="Q224" s="2"/>
      <c r="R224" s="2" t="n">
        <f aca="false">P224*Q224</f>
        <v>0</v>
      </c>
      <c r="S224" s="2" t="str">
        <f aca="false">IF(R224&gt;=15,"Critical",IF(R224&gt;=9,"High",IF(R224&gt;=4,"Medium","Low")))</f>
        <v>Low</v>
      </c>
      <c r="T224" s="2"/>
      <c r="U224" s="2"/>
      <c r="V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 t="n">
        <f aca="false">J225*K225</f>
        <v>0</v>
      </c>
      <c r="M225" s="2" t="str">
        <f aca="false">IF(L225&gt;=15,"Critical",IF(L225&gt;=9,"High",IF(L225&gt;=4,"Medium","Low")))</f>
        <v>Low</v>
      </c>
      <c r="N225" s="2"/>
      <c r="O225" s="2"/>
      <c r="P225" s="2"/>
      <c r="Q225" s="2"/>
      <c r="R225" s="2" t="n">
        <f aca="false">P225*Q225</f>
        <v>0</v>
      </c>
      <c r="S225" s="2" t="str">
        <f aca="false">IF(R225&gt;=15,"Critical",IF(R225&gt;=9,"High",IF(R225&gt;=4,"Medium","Low")))</f>
        <v>Low</v>
      </c>
      <c r="T225" s="2"/>
      <c r="U225" s="2"/>
      <c r="V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 t="n">
        <f aca="false">J226*K226</f>
        <v>0</v>
      </c>
      <c r="M226" s="2" t="str">
        <f aca="false">IF(L226&gt;=15,"Critical",IF(L226&gt;=9,"High",IF(L226&gt;=4,"Medium","Low")))</f>
        <v>Low</v>
      </c>
      <c r="N226" s="2"/>
      <c r="O226" s="2"/>
      <c r="P226" s="2"/>
      <c r="Q226" s="2"/>
      <c r="R226" s="2" t="n">
        <f aca="false">P226*Q226</f>
        <v>0</v>
      </c>
      <c r="S226" s="2" t="str">
        <f aca="false">IF(R226&gt;=15,"Critical",IF(R226&gt;=9,"High",IF(R226&gt;=4,"Medium","Low")))</f>
        <v>Low</v>
      </c>
      <c r="T226" s="2"/>
      <c r="U226" s="2"/>
      <c r="V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 t="n">
        <f aca="false">J227*K227</f>
        <v>0</v>
      </c>
      <c r="M227" s="2" t="str">
        <f aca="false">IF(L227&gt;=15,"Critical",IF(L227&gt;=9,"High",IF(L227&gt;=4,"Medium","Low")))</f>
        <v>Low</v>
      </c>
      <c r="N227" s="2"/>
      <c r="O227" s="2"/>
      <c r="P227" s="2"/>
      <c r="Q227" s="2"/>
      <c r="R227" s="2" t="n">
        <f aca="false">P227*Q227</f>
        <v>0</v>
      </c>
      <c r="S227" s="2" t="str">
        <f aca="false">IF(R227&gt;=15,"Critical",IF(R227&gt;=9,"High",IF(R227&gt;=4,"Medium","Low")))</f>
        <v>Low</v>
      </c>
      <c r="T227" s="2"/>
      <c r="U227" s="2"/>
      <c r="V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 t="n">
        <f aca="false">J228*K228</f>
        <v>0</v>
      </c>
      <c r="M228" s="2" t="str">
        <f aca="false">IF(L228&gt;=15,"Critical",IF(L228&gt;=9,"High",IF(L228&gt;=4,"Medium","Low")))</f>
        <v>Low</v>
      </c>
      <c r="N228" s="2"/>
      <c r="O228" s="2"/>
      <c r="P228" s="2"/>
      <c r="Q228" s="2"/>
      <c r="R228" s="2" t="n">
        <f aca="false">P228*Q228</f>
        <v>0</v>
      </c>
      <c r="S228" s="2" t="str">
        <f aca="false">IF(R228&gt;=15,"Critical",IF(R228&gt;=9,"High",IF(R228&gt;=4,"Medium","Low")))</f>
        <v>Low</v>
      </c>
      <c r="T228" s="2"/>
      <c r="U228" s="2"/>
      <c r="V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 t="n">
        <f aca="false">J229*K229</f>
        <v>0</v>
      </c>
      <c r="M229" s="2" t="str">
        <f aca="false">IF(L229&gt;=15,"Critical",IF(L229&gt;=9,"High",IF(L229&gt;=4,"Medium","Low")))</f>
        <v>Low</v>
      </c>
      <c r="N229" s="2"/>
      <c r="O229" s="2"/>
      <c r="P229" s="2"/>
      <c r="Q229" s="2"/>
      <c r="R229" s="2" t="n">
        <f aca="false">P229*Q229</f>
        <v>0</v>
      </c>
      <c r="S229" s="2" t="str">
        <f aca="false">IF(R229&gt;=15,"Critical",IF(R229&gt;=9,"High",IF(R229&gt;=4,"Medium","Low")))</f>
        <v>Low</v>
      </c>
      <c r="T229" s="2"/>
      <c r="U229" s="2"/>
      <c r="V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 t="n">
        <f aca="false">J230*K230</f>
        <v>0</v>
      </c>
      <c r="M230" s="2" t="str">
        <f aca="false">IF(L230&gt;=15,"Critical",IF(L230&gt;=9,"High",IF(L230&gt;=4,"Medium","Low")))</f>
        <v>Low</v>
      </c>
      <c r="N230" s="2"/>
      <c r="O230" s="2"/>
      <c r="P230" s="2"/>
      <c r="Q230" s="2"/>
      <c r="R230" s="2" t="n">
        <f aca="false">P230*Q230</f>
        <v>0</v>
      </c>
      <c r="S230" s="2" t="str">
        <f aca="false">IF(R230&gt;=15,"Critical",IF(R230&gt;=9,"High",IF(R230&gt;=4,"Medium","Low")))</f>
        <v>Low</v>
      </c>
      <c r="T230" s="2"/>
      <c r="U230" s="2"/>
      <c r="V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 t="n">
        <f aca="false">J231*K231</f>
        <v>0</v>
      </c>
      <c r="M231" s="2" t="str">
        <f aca="false">IF(L231&gt;=15,"Critical",IF(L231&gt;=9,"High",IF(L231&gt;=4,"Medium","Low")))</f>
        <v>Low</v>
      </c>
      <c r="N231" s="2"/>
      <c r="O231" s="2"/>
      <c r="P231" s="2"/>
      <c r="Q231" s="2"/>
      <c r="R231" s="2" t="n">
        <f aca="false">P231*Q231</f>
        <v>0</v>
      </c>
      <c r="S231" s="2" t="str">
        <f aca="false">IF(R231&gt;=15,"Critical",IF(R231&gt;=9,"High",IF(R231&gt;=4,"Medium","Low")))</f>
        <v>Low</v>
      </c>
      <c r="T231" s="2"/>
      <c r="U231" s="2"/>
      <c r="V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 t="n">
        <f aca="false">J232*K232</f>
        <v>0</v>
      </c>
      <c r="M232" s="2" t="str">
        <f aca="false">IF(L232&gt;=15,"Critical",IF(L232&gt;=9,"High",IF(L232&gt;=4,"Medium","Low")))</f>
        <v>Low</v>
      </c>
      <c r="N232" s="2"/>
      <c r="O232" s="2"/>
      <c r="P232" s="2"/>
      <c r="Q232" s="2"/>
      <c r="R232" s="2" t="n">
        <f aca="false">P232*Q232</f>
        <v>0</v>
      </c>
      <c r="S232" s="2" t="str">
        <f aca="false">IF(R232&gt;=15,"Critical",IF(R232&gt;=9,"High",IF(R232&gt;=4,"Medium","Low")))</f>
        <v>Low</v>
      </c>
      <c r="T232" s="2"/>
      <c r="U232" s="2"/>
      <c r="V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 t="n">
        <f aca="false">J233*K233</f>
        <v>0</v>
      </c>
      <c r="M233" s="2" t="str">
        <f aca="false">IF(L233&gt;=15,"Critical",IF(L233&gt;=9,"High",IF(L233&gt;=4,"Medium","Low")))</f>
        <v>Low</v>
      </c>
      <c r="N233" s="2"/>
      <c r="O233" s="2"/>
      <c r="P233" s="2"/>
      <c r="Q233" s="2"/>
      <c r="R233" s="2" t="n">
        <f aca="false">P233*Q233</f>
        <v>0</v>
      </c>
      <c r="S233" s="2" t="str">
        <f aca="false">IF(R233&gt;=15,"Critical",IF(R233&gt;=9,"High",IF(R233&gt;=4,"Medium","Low")))</f>
        <v>Low</v>
      </c>
      <c r="T233" s="2"/>
      <c r="U233" s="2"/>
      <c r="V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 t="n">
        <f aca="false">J234*K234</f>
        <v>0</v>
      </c>
      <c r="M234" s="2" t="str">
        <f aca="false">IF(L234&gt;=15,"Critical",IF(L234&gt;=9,"High",IF(L234&gt;=4,"Medium","Low")))</f>
        <v>Low</v>
      </c>
      <c r="N234" s="2"/>
      <c r="O234" s="2"/>
      <c r="P234" s="2"/>
      <c r="Q234" s="2"/>
      <c r="R234" s="2" t="n">
        <f aca="false">P234*Q234</f>
        <v>0</v>
      </c>
      <c r="S234" s="2" t="str">
        <f aca="false">IF(R234&gt;=15,"Critical",IF(R234&gt;=9,"High",IF(R234&gt;=4,"Medium","Low")))</f>
        <v>Low</v>
      </c>
      <c r="T234" s="2"/>
      <c r="U234" s="2"/>
      <c r="V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 t="n">
        <f aca="false">J235*K235</f>
        <v>0</v>
      </c>
      <c r="M235" s="2" t="str">
        <f aca="false">IF(L235&gt;=15,"Critical",IF(L235&gt;=9,"High",IF(L235&gt;=4,"Medium","Low")))</f>
        <v>Low</v>
      </c>
      <c r="N235" s="2"/>
      <c r="O235" s="2"/>
      <c r="P235" s="2"/>
      <c r="Q235" s="2"/>
      <c r="R235" s="2" t="n">
        <f aca="false">P235*Q235</f>
        <v>0</v>
      </c>
      <c r="S235" s="2" t="str">
        <f aca="false">IF(R235&gt;=15,"Critical",IF(R235&gt;=9,"High",IF(R235&gt;=4,"Medium","Low")))</f>
        <v>Low</v>
      </c>
      <c r="T235" s="2"/>
      <c r="U235" s="2"/>
      <c r="V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 t="n">
        <f aca="false">J236*K236</f>
        <v>0</v>
      </c>
      <c r="M236" s="2" t="str">
        <f aca="false">IF(L236&gt;=15,"Critical",IF(L236&gt;=9,"High",IF(L236&gt;=4,"Medium","Low")))</f>
        <v>Low</v>
      </c>
      <c r="N236" s="2"/>
      <c r="O236" s="2"/>
      <c r="P236" s="2"/>
      <c r="Q236" s="2"/>
      <c r="R236" s="2" t="n">
        <f aca="false">P236*Q236</f>
        <v>0</v>
      </c>
      <c r="S236" s="2" t="str">
        <f aca="false">IF(R236&gt;=15,"Critical",IF(R236&gt;=9,"High",IF(R236&gt;=4,"Medium","Low")))</f>
        <v>Low</v>
      </c>
      <c r="T236" s="2"/>
      <c r="U236" s="2"/>
      <c r="V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 t="n">
        <f aca="false">J237*K237</f>
        <v>0</v>
      </c>
      <c r="M237" s="2" t="str">
        <f aca="false">IF(L237&gt;=15,"Critical",IF(L237&gt;=9,"High",IF(L237&gt;=4,"Medium","Low")))</f>
        <v>Low</v>
      </c>
      <c r="N237" s="2"/>
      <c r="O237" s="2"/>
      <c r="P237" s="2"/>
      <c r="Q237" s="2"/>
      <c r="R237" s="2" t="n">
        <f aca="false">P237*Q237</f>
        <v>0</v>
      </c>
      <c r="S237" s="2" t="str">
        <f aca="false">IF(R237&gt;=15,"Critical",IF(R237&gt;=9,"High",IF(R237&gt;=4,"Medium","Low")))</f>
        <v>Low</v>
      </c>
      <c r="T237" s="2"/>
      <c r="U237" s="2"/>
      <c r="V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 t="n">
        <f aca="false">J238*K238</f>
        <v>0</v>
      </c>
      <c r="M238" s="2" t="str">
        <f aca="false">IF(L238&gt;=15,"Critical",IF(L238&gt;=9,"High",IF(L238&gt;=4,"Medium","Low")))</f>
        <v>Low</v>
      </c>
      <c r="N238" s="2"/>
      <c r="O238" s="2"/>
      <c r="P238" s="2"/>
      <c r="Q238" s="2"/>
      <c r="R238" s="2" t="n">
        <f aca="false">P238*Q238</f>
        <v>0</v>
      </c>
      <c r="S238" s="2" t="str">
        <f aca="false">IF(R238&gt;=15,"Critical",IF(R238&gt;=9,"High",IF(R238&gt;=4,"Medium","Low")))</f>
        <v>Low</v>
      </c>
      <c r="T238" s="2"/>
      <c r="U238" s="2"/>
      <c r="V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 t="n">
        <f aca="false">J239*K239</f>
        <v>0</v>
      </c>
      <c r="M239" s="2" t="str">
        <f aca="false">IF(L239&gt;=15,"Critical",IF(L239&gt;=9,"High",IF(L239&gt;=4,"Medium","Low")))</f>
        <v>Low</v>
      </c>
      <c r="N239" s="2"/>
      <c r="O239" s="2"/>
      <c r="P239" s="2"/>
      <c r="Q239" s="2"/>
      <c r="R239" s="2" t="n">
        <f aca="false">P239*Q239</f>
        <v>0</v>
      </c>
      <c r="S239" s="2" t="str">
        <f aca="false">IF(R239&gt;=15,"Critical",IF(R239&gt;=9,"High",IF(R239&gt;=4,"Medium","Low")))</f>
        <v>Low</v>
      </c>
      <c r="T239" s="2"/>
      <c r="U239" s="2"/>
      <c r="V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 t="n">
        <f aca="false">J240*K240</f>
        <v>0</v>
      </c>
      <c r="M240" s="2" t="str">
        <f aca="false">IF(L240&gt;=15,"Critical",IF(L240&gt;=9,"High",IF(L240&gt;=4,"Medium","Low")))</f>
        <v>Low</v>
      </c>
      <c r="N240" s="2"/>
      <c r="O240" s="2"/>
      <c r="P240" s="2"/>
      <c r="Q240" s="2"/>
      <c r="R240" s="2" t="n">
        <f aca="false">P240*Q240</f>
        <v>0</v>
      </c>
      <c r="S240" s="2" t="str">
        <f aca="false">IF(R240&gt;=15,"Critical",IF(R240&gt;=9,"High",IF(R240&gt;=4,"Medium","Low")))</f>
        <v>Low</v>
      </c>
      <c r="T240" s="2"/>
      <c r="U240" s="2"/>
      <c r="V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 t="n">
        <f aca="false">J241*K241</f>
        <v>0</v>
      </c>
      <c r="M241" s="2" t="str">
        <f aca="false">IF(L241&gt;=15,"Critical",IF(L241&gt;=9,"High",IF(L241&gt;=4,"Medium","Low")))</f>
        <v>Low</v>
      </c>
      <c r="N241" s="2"/>
      <c r="O241" s="2"/>
      <c r="P241" s="2"/>
      <c r="Q241" s="2"/>
      <c r="R241" s="2" t="n">
        <f aca="false">P241*Q241</f>
        <v>0</v>
      </c>
      <c r="S241" s="2" t="str">
        <f aca="false">IF(R241&gt;=15,"Critical",IF(R241&gt;=9,"High",IF(R241&gt;=4,"Medium","Low")))</f>
        <v>Low</v>
      </c>
      <c r="T241" s="2"/>
      <c r="U241" s="2"/>
      <c r="V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 t="n">
        <f aca="false">J242*K242</f>
        <v>0</v>
      </c>
      <c r="M242" s="2" t="str">
        <f aca="false">IF(L242&gt;=15,"Critical",IF(L242&gt;=9,"High",IF(L242&gt;=4,"Medium","Low")))</f>
        <v>Low</v>
      </c>
      <c r="N242" s="2"/>
      <c r="O242" s="2"/>
      <c r="P242" s="2"/>
      <c r="Q242" s="2"/>
      <c r="R242" s="2" t="n">
        <f aca="false">P242*Q242</f>
        <v>0</v>
      </c>
      <c r="S242" s="2" t="str">
        <f aca="false">IF(R242&gt;=15,"Critical",IF(R242&gt;=9,"High",IF(R242&gt;=4,"Medium","Low")))</f>
        <v>Low</v>
      </c>
      <c r="T242" s="2"/>
      <c r="U242" s="2"/>
      <c r="V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 t="n">
        <f aca="false">J243*K243</f>
        <v>0</v>
      </c>
      <c r="M243" s="2" t="str">
        <f aca="false">IF(L243&gt;=15,"Critical",IF(L243&gt;=9,"High",IF(L243&gt;=4,"Medium","Low")))</f>
        <v>Low</v>
      </c>
      <c r="N243" s="2"/>
      <c r="O243" s="2"/>
      <c r="P243" s="2"/>
      <c r="Q243" s="2"/>
      <c r="R243" s="2" t="n">
        <f aca="false">P243*Q243</f>
        <v>0</v>
      </c>
      <c r="S243" s="2" t="str">
        <f aca="false">IF(R243&gt;=15,"Critical",IF(R243&gt;=9,"High",IF(R243&gt;=4,"Medium","Low")))</f>
        <v>Low</v>
      </c>
      <c r="T243" s="2"/>
      <c r="U243" s="2"/>
      <c r="V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 t="n">
        <f aca="false">J244*K244</f>
        <v>0</v>
      </c>
      <c r="M244" s="2" t="str">
        <f aca="false">IF(L244&gt;=15,"Critical",IF(L244&gt;=9,"High",IF(L244&gt;=4,"Medium","Low")))</f>
        <v>Low</v>
      </c>
      <c r="N244" s="2"/>
      <c r="O244" s="2"/>
      <c r="P244" s="2"/>
      <c r="Q244" s="2"/>
      <c r="R244" s="2" t="n">
        <f aca="false">P244*Q244</f>
        <v>0</v>
      </c>
      <c r="S244" s="2" t="str">
        <f aca="false">IF(R244&gt;=15,"Critical",IF(R244&gt;=9,"High",IF(R244&gt;=4,"Medium","Low")))</f>
        <v>Low</v>
      </c>
      <c r="T244" s="2"/>
      <c r="U244" s="2"/>
      <c r="V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 t="n">
        <f aca="false">J245*K245</f>
        <v>0</v>
      </c>
      <c r="M245" s="2" t="str">
        <f aca="false">IF(L245&gt;=15,"Critical",IF(L245&gt;=9,"High",IF(L245&gt;=4,"Medium","Low")))</f>
        <v>Low</v>
      </c>
      <c r="N245" s="2"/>
      <c r="O245" s="2"/>
      <c r="P245" s="2"/>
      <c r="Q245" s="2"/>
      <c r="R245" s="2" t="n">
        <f aca="false">P245*Q245</f>
        <v>0</v>
      </c>
      <c r="S245" s="2" t="str">
        <f aca="false">IF(R245&gt;=15,"Critical",IF(R245&gt;=9,"High",IF(R245&gt;=4,"Medium","Low")))</f>
        <v>Low</v>
      </c>
      <c r="T245" s="2"/>
      <c r="U245" s="2"/>
      <c r="V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 t="n">
        <f aca="false">J246*K246</f>
        <v>0</v>
      </c>
      <c r="M246" s="2" t="str">
        <f aca="false">IF(L246&gt;=15,"Critical",IF(L246&gt;=9,"High",IF(L246&gt;=4,"Medium","Low")))</f>
        <v>Low</v>
      </c>
      <c r="N246" s="2"/>
      <c r="O246" s="2"/>
      <c r="P246" s="2"/>
      <c r="Q246" s="2"/>
      <c r="R246" s="2" t="n">
        <f aca="false">P246*Q246</f>
        <v>0</v>
      </c>
      <c r="S246" s="2" t="str">
        <f aca="false">IF(R246&gt;=15,"Critical",IF(R246&gt;=9,"High",IF(R246&gt;=4,"Medium","Low")))</f>
        <v>Low</v>
      </c>
      <c r="T246" s="2"/>
      <c r="U246" s="2"/>
      <c r="V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 t="n">
        <f aca="false">J247*K247</f>
        <v>0</v>
      </c>
      <c r="M247" s="2" t="str">
        <f aca="false">IF(L247&gt;=15,"Critical",IF(L247&gt;=9,"High",IF(L247&gt;=4,"Medium","Low")))</f>
        <v>Low</v>
      </c>
      <c r="N247" s="2"/>
      <c r="O247" s="2"/>
      <c r="P247" s="2"/>
      <c r="Q247" s="2"/>
      <c r="R247" s="2" t="n">
        <f aca="false">P247*Q247</f>
        <v>0</v>
      </c>
      <c r="S247" s="2" t="str">
        <f aca="false">IF(R247&gt;=15,"Critical",IF(R247&gt;=9,"High",IF(R247&gt;=4,"Medium","Low")))</f>
        <v>Low</v>
      </c>
      <c r="T247" s="2"/>
      <c r="U247" s="2"/>
      <c r="V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 t="n">
        <f aca="false">J248*K248</f>
        <v>0</v>
      </c>
      <c r="M248" s="2" t="str">
        <f aca="false">IF(L248&gt;=15,"Critical",IF(L248&gt;=9,"High",IF(L248&gt;=4,"Medium","Low")))</f>
        <v>Low</v>
      </c>
      <c r="N248" s="2"/>
      <c r="O248" s="2"/>
      <c r="P248" s="2"/>
      <c r="Q248" s="2"/>
      <c r="R248" s="2" t="n">
        <f aca="false">P248*Q248</f>
        <v>0</v>
      </c>
      <c r="S248" s="2" t="str">
        <f aca="false">IF(R248&gt;=15,"Critical",IF(R248&gt;=9,"High",IF(R248&gt;=4,"Medium","Low")))</f>
        <v>Low</v>
      </c>
      <c r="T248" s="2"/>
      <c r="U248" s="2"/>
      <c r="V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 t="n">
        <f aca="false">J249*K249</f>
        <v>0</v>
      </c>
      <c r="M249" s="2" t="str">
        <f aca="false">IF(L249&gt;=15,"Critical",IF(L249&gt;=9,"High",IF(L249&gt;=4,"Medium","Low")))</f>
        <v>Low</v>
      </c>
      <c r="N249" s="2"/>
      <c r="O249" s="2"/>
      <c r="P249" s="2"/>
      <c r="Q249" s="2"/>
      <c r="R249" s="2" t="n">
        <f aca="false">P249*Q249</f>
        <v>0</v>
      </c>
      <c r="S249" s="2" t="str">
        <f aca="false">IF(R249&gt;=15,"Critical",IF(R249&gt;=9,"High",IF(R249&gt;=4,"Medium","Low")))</f>
        <v>Low</v>
      </c>
      <c r="T249" s="2"/>
      <c r="U249" s="2"/>
      <c r="V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 t="n">
        <f aca="false">J250*K250</f>
        <v>0</v>
      </c>
      <c r="M250" s="2" t="str">
        <f aca="false">IF(L250&gt;=15,"Critical",IF(L250&gt;=9,"High",IF(L250&gt;=4,"Medium","Low")))</f>
        <v>Low</v>
      </c>
      <c r="N250" s="2"/>
      <c r="O250" s="2"/>
      <c r="P250" s="2"/>
      <c r="Q250" s="2"/>
      <c r="R250" s="2" t="n">
        <f aca="false">P250*Q250</f>
        <v>0</v>
      </c>
      <c r="S250" s="2" t="str">
        <f aca="false">IF(R250&gt;=15,"Critical",IF(R250&gt;=9,"High",IF(R250&gt;=4,"Medium","Low")))</f>
        <v>Low</v>
      </c>
      <c r="T250" s="2"/>
      <c r="U250" s="2"/>
      <c r="V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 t="n">
        <f aca="false">J251*K251</f>
        <v>0</v>
      </c>
      <c r="M251" s="2" t="str">
        <f aca="false">IF(L251&gt;=15,"Critical",IF(L251&gt;=9,"High",IF(L251&gt;=4,"Medium","Low")))</f>
        <v>Low</v>
      </c>
      <c r="N251" s="2"/>
      <c r="O251" s="2"/>
      <c r="P251" s="2"/>
      <c r="Q251" s="2"/>
      <c r="R251" s="2" t="n">
        <f aca="false">P251*Q251</f>
        <v>0</v>
      </c>
      <c r="S251" s="2" t="str">
        <f aca="false">IF(R251&gt;=15,"Critical",IF(R251&gt;=9,"High",IF(R251&gt;=4,"Medium","Low")))</f>
        <v>Low</v>
      </c>
      <c r="T251" s="2"/>
      <c r="U251" s="2"/>
      <c r="V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 t="n">
        <f aca="false">J252*K252</f>
        <v>0</v>
      </c>
      <c r="M252" s="2" t="str">
        <f aca="false">IF(L252&gt;=15,"Critical",IF(L252&gt;=9,"High",IF(L252&gt;=4,"Medium","Low")))</f>
        <v>Low</v>
      </c>
      <c r="N252" s="2"/>
      <c r="O252" s="2"/>
      <c r="P252" s="2"/>
      <c r="Q252" s="2"/>
      <c r="R252" s="2" t="n">
        <f aca="false">P252*Q252</f>
        <v>0</v>
      </c>
      <c r="S252" s="2" t="str">
        <f aca="false">IF(R252&gt;=15,"Critical",IF(R252&gt;=9,"High",IF(R252&gt;=4,"Medium","Low")))</f>
        <v>Low</v>
      </c>
      <c r="T252" s="2"/>
      <c r="U252" s="2"/>
      <c r="V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 t="n">
        <f aca="false">J253*K253</f>
        <v>0</v>
      </c>
      <c r="M253" s="2" t="str">
        <f aca="false">IF(L253&gt;=15,"Critical",IF(L253&gt;=9,"High",IF(L253&gt;=4,"Medium","Low")))</f>
        <v>Low</v>
      </c>
      <c r="N253" s="2"/>
      <c r="O253" s="2"/>
      <c r="P253" s="2"/>
      <c r="Q253" s="2"/>
      <c r="R253" s="2" t="n">
        <f aca="false">P253*Q253</f>
        <v>0</v>
      </c>
      <c r="S253" s="2" t="str">
        <f aca="false">IF(R253&gt;=15,"Critical",IF(R253&gt;=9,"High",IF(R253&gt;=4,"Medium","Low")))</f>
        <v>Low</v>
      </c>
      <c r="T253" s="2"/>
      <c r="U253" s="2"/>
      <c r="V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 t="n">
        <f aca="false">J254*K254</f>
        <v>0</v>
      </c>
      <c r="M254" s="2" t="str">
        <f aca="false">IF(L254&gt;=15,"Critical",IF(L254&gt;=9,"High",IF(L254&gt;=4,"Medium","Low")))</f>
        <v>Low</v>
      </c>
      <c r="N254" s="2"/>
      <c r="O254" s="2"/>
      <c r="P254" s="2"/>
      <c r="Q254" s="2"/>
      <c r="R254" s="2" t="n">
        <f aca="false">P254*Q254</f>
        <v>0</v>
      </c>
      <c r="S254" s="2" t="str">
        <f aca="false">IF(R254&gt;=15,"Critical",IF(R254&gt;=9,"High",IF(R254&gt;=4,"Medium","Low")))</f>
        <v>Low</v>
      </c>
      <c r="T254" s="2"/>
      <c r="U254" s="2"/>
      <c r="V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 t="n">
        <f aca="false">J255*K255</f>
        <v>0</v>
      </c>
      <c r="M255" s="2" t="str">
        <f aca="false">IF(L255&gt;=15,"Critical",IF(L255&gt;=9,"High",IF(L255&gt;=4,"Medium","Low")))</f>
        <v>Low</v>
      </c>
      <c r="N255" s="2"/>
      <c r="O255" s="2"/>
      <c r="P255" s="2"/>
      <c r="Q255" s="2"/>
      <c r="R255" s="2" t="n">
        <f aca="false">P255*Q255</f>
        <v>0</v>
      </c>
      <c r="S255" s="2" t="str">
        <f aca="false">IF(R255&gt;=15,"Critical",IF(R255&gt;=9,"High",IF(R255&gt;=4,"Medium","Low")))</f>
        <v>Low</v>
      </c>
      <c r="T255" s="2"/>
      <c r="U255" s="2"/>
      <c r="V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 t="n">
        <f aca="false">J256*K256</f>
        <v>0</v>
      </c>
      <c r="M256" s="2" t="str">
        <f aca="false">IF(L256&gt;=15,"Critical",IF(L256&gt;=9,"High",IF(L256&gt;=4,"Medium","Low")))</f>
        <v>Low</v>
      </c>
      <c r="N256" s="2"/>
      <c r="O256" s="2"/>
      <c r="P256" s="2"/>
      <c r="Q256" s="2"/>
      <c r="R256" s="2" t="n">
        <f aca="false">P256*Q256</f>
        <v>0</v>
      </c>
      <c r="S256" s="2" t="str">
        <f aca="false">IF(R256&gt;=15,"Critical",IF(R256&gt;=9,"High",IF(R256&gt;=4,"Medium","Low")))</f>
        <v>Low</v>
      </c>
      <c r="T256" s="2"/>
      <c r="U256" s="2"/>
      <c r="V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 t="n">
        <f aca="false">J257*K257</f>
        <v>0</v>
      </c>
      <c r="M257" s="2" t="str">
        <f aca="false">IF(L257&gt;=15,"Critical",IF(L257&gt;=9,"High",IF(L257&gt;=4,"Medium","Low")))</f>
        <v>Low</v>
      </c>
      <c r="N257" s="2"/>
      <c r="O257" s="2"/>
      <c r="P257" s="2"/>
      <c r="Q257" s="2"/>
      <c r="R257" s="2" t="n">
        <f aca="false">P257*Q257</f>
        <v>0</v>
      </c>
      <c r="S257" s="2" t="str">
        <f aca="false">IF(R257&gt;=15,"Critical",IF(R257&gt;=9,"High",IF(R257&gt;=4,"Medium","Low")))</f>
        <v>Low</v>
      </c>
      <c r="T257" s="2"/>
      <c r="U257" s="2"/>
      <c r="V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 t="n">
        <f aca="false">J258*K258</f>
        <v>0</v>
      </c>
      <c r="M258" s="2" t="str">
        <f aca="false">IF(L258&gt;=15,"Critical",IF(L258&gt;=9,"High",IF(L258&gt;=4,"Medium","Low")))</f>
        <v>Low</v>
      </c>
      <c r="N258" s="2"/>
      <c r="O258" s="2"/>
      <c r="P258" s="2"/>
      <c r="Q258" s="2"/>
      <c r="R258" s="2" t="n">
        <f aca="false">P258*Q258</f>
        <v>0</v>
      </c>
      <c r="S258" s="2" t="str">
        <f aca="false">IF(R258&gt;=15,"Critical",IF(R258&gt;=9,"High",IF(R258&gt;=4,"Medium","Low")))</f>
        <v>Low</v>
      </c>
      <c r="T258" s="2"/>
      <c r="U258" s="2"/>
      <c r="V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 t="n">
        <f aca="false">J259*K259</f>
        <v>0</v>
      </c>
      <c r="M259" s="2" t="str">
        <f aca="false">IF(L259&gt;=15,"Critical",IF(L259&gt;=9,"High",IF(L259&gt;=4,"Medium","Low")))</f>
        <v>Low</v>
      </c>
      <c r="N259" s="2"/>
      <c r="O259" s="2"/>
      <c r="P259" s="2"/>
      <c r="Q259" s="2"/>
      <c r="R259" s="2" t="n">
        <f aca="false">P259*Q259</f>
        <v>0</v>
      </c>
      <c r="S259" s="2" t="str">
        <f aca="false">IF(R259&gt;=15,"Critical",IF(R259&gt;=9,"High",IF(R259&gt;=4,"Medium","Low")))</f>
        <v>Low</v>
      </c>
      <c r="T259" s="2"/>
      <c r="U259" s="2"/>
      <c r="V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 t="n">
        <f aca="false">J260*K260</f>
        <v>0</v>
      </c>
      <c r="M260" s="2" t="str">
        <f aca="false">IF(L260&gt;=15,"Critical",IF(L260&gt;=9,"High",IF(L260&gt;=4,"Medium","Low")))</f>
        <v>Low</v>
      </c>
      <c r="N260" s="2"/>
      <c r="O260" s="2"/>
      <c r="P260" s="2"/>
      <c r="Q260" s="2"/>
      <c r="R260" s="2" t="n">
        <f aca="false">P260*Q260</f>
        <v>0</v>
      </c>
      <c r="S260" s="2" t="str">
        <f aca="false">IF(R260&gt;=15,"Critical",IF(R260&gt;=9,"High",IF(R260&gt;=4,"Medium","Low")))</f>
        <v>Low</v>
      </c>
      <c r="T260" s="2"/>
      <c r="U260" s="2"/>
      <c r="V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 t="n">
        <f aca="false">J261*K261</f>
        <v>0</v>
      </c>
      <c r="M261" s="2" t="str">
        <f aca="false">IF(L261&gt;=15,"Critical",IF(L261&gt;=9,"High",IF(L261&gt;=4,"Medium","Low")))</f>
        <v>Low</v>
      </c>
      <c r="N261" s="2"/>
      <c r="O261" s="2"/>
      <c r="P261" s="2"/>
      <c r="Q261" s="2"/>
      <c r="R261" s="2" t="n">
        <f aca="false">P261*Q261</f>
        <v>0</v>
      </c>
      <c r="S261" s="2" t="str">
        <f aca="false">IF(R261&gt;=15,"Critical",IF(R261&gt;=9,"High",IF(R261&gt;=4,"Medium","Low")))</f>
        <v>Low</v>
      </c>
      <c r="T261" s="2"/>
      <c r="U261" s="2"/>
      <c r="V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 t="n">
        <f aca="false">J262*K262</f>
        <v>0</v>
      </c>
      <c r="M262" s="2" t="str">
        <f aca="false">IF(L262&gt;=15,"Critical",IF(L262&gt;=9,"High",IF(L262&gt;=4,"Medium","Low")))</f>
        <v>Low</v>
      </c>
      <c r="N262" s="2"/>
      <c r="O262" s="2"/>
      <c r="P262" s="2"/>
      <c r="Q262" s="2"/>
      <c r="R262" s="2" t="n">
        <f aca="false">P262*Q262</f>
        <v>0</v>
      </c>
      <c r="S262" s="2" t="str">
        <f aca="false">IF(R262&gt;=15,"Critical",IF(R262&gt;=9,"High",IF(R262&gt;=4,"Medium","Low")))</f>
        <v>Low</v>
      </c>
      <c r="T262" s="2"/>
      <c r="U262" s="2"/>
      <c r="V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 t="n">
        <f aca="false">J263*K263</f>
        <v>0</v>
      </c>
      <c r="M263" s="2" t="str">
        <f aca="false">IF(L263&gt;=15,"Critical",IF(L263&gt;=9,"High",IF(L263&gt;=4,"Medium","Low")))</f>
        <v>Low</v>
      </c>
      <c r="N263" s="2"/>
      <c r="O263" s="2"/>
      <c r="P263" s="2"/>
      <c r="Q263" s="2"/>
      <c r="R263" s="2" t="n">
        <f aca="false">P263*Q263</f>
        <v>0</v>
      </c>
      <c r="S263" s="2" t="str">
        <f aca="false">IF(R263&gt;=15,"Critical",IF(R263&gt;=9,"High",IF(R263&gt;=4,"Medium","Low")))</f>
        <v>Low</v>
      </c>
      <c r="T263" s="2"/>
      <c r="U263" s="2"/>
      <c r="V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 t="n">
        <f aca="false">J264*K264</f>
        <v>0</v>
      </c>
      <c r="M264" s="2" t="str">
        <f aca="false">IF(L264&gt;=15,"Critical",IF(L264&gt;=9,"High",IF(L264&gt;=4,"Medium","Low")))</f>
        <v>Low</v>
      </c>
      <c r="N264" s="2"/>
      <c r="O264" s="2"/>
      <c r="P264" s="2"/>
      <c r="Q264" s="2"/>
      <c r="R264" s="2" t="n">
        <f aca="false">P264*Q264</f>
        <v>0</v>
      </c>
      <c r="S264" s="2" t="str">
        <f aca="false">IF(R264&gt;=15,"Critical",IF(R264&gt;=9,"High",IF(R264&gt;=4,"Medium","Low")))</f>
        <v>Low</v>
      </c>
      <c r="T264" s="2"/>
      <c r="U264" s="2"/>
      <c r="V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 t="n">
        <f aca="false">J265*K265</f>
        <v>0</v>
      </c>
      <c r="M265" s="2" t="str">
        <f aca="false">IF(L265&gt;=15,"Critical",IF(L265&gt;=9,"High",IF(L265&gt;=4,"Medium","Low")))</f>
        <v>Low</v>
      </c>
      <c r="N265" s="2"/>
      <c r="O265" s="2"/>
      <c r="P265" s="2"/>
      <c r="Q265" s="2"/>
      <c r="R265" s="2" t="n">
        <f aca="false">P265*Q265</f>
        <v>0</v>
      </c>
      <c r="S265" s="2" t="str">
        <f aca="false">IF(R265&gt;=15,"Critical",IF(R265&gt;=9,"High",IF(R265&gt;=4,"Medium","Low")))</f>
        <v>Low</v>
      </c>
      <c r="T265" s="2"/>
      <c r="U265" s="2"/>
      <c r="V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 t="n">
        <f aca="false">J266*K266</f>
        <v>0</v>
      </c>
      <c r="M266" s="2" t="str">
        <f aca="false">IF(L266&gt;=15,"Critical",IF(L266&gt;=9,"High",IF(L266&gt;=4,"Medium","Low")))</f>
        <v>Low</v>
      </c>
      <c r="N266" s="2"/>
      <c r="O266" s="2"/>
      <c r="P266" s="2"/>
      <c r="Q266" s="2"/>
      <c r="R266" s="2" t="n">
        <f aca="false">P266*Q266</f>
        <v>0</v>
      </c>
      <c r="S266" s="2" t="str">
        <f aca="false">IF(R266&gt;=15,"Critical",IF(R266&gt;=9,"High",IF(R266&gt;=4,"Medium","Low")))</f>
        <v>Low</v>
      </c>
      <c r="T266" s="2"/>
      <c r="U266" s="2"/>
      <c r="V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 t="n">
        <f aca="false">J267*K267</f>
        <v>0</v>
      </c>
      <c r="M267" s="2" t="str">
        <f aca="false">IF(L267&gt;=15,"Critical",IF(L267&gt;=9,"High",IF(L267&gt;=4,"Medium","Low")))</f>
        <v>Low</v>
      </c>
      <c r="N267" s="2"/>
      <c r="O267" s="2"/>
      <c r="P267" s="2"/>
      <c r="Q267" s="2"/>
      <c r="R267" s="2" t="n">
        <f aca="false">P267*Q267</f>
        <v>0</v>
      </c>
      <c r="S267" s="2" t="str">
        <f aca="false">IF(R267&gt;=15,"Critical",IF(R267&gt;=9,"High",IF(R267&gt;=4,"Medium","Low")))</f>
        <v>Low</v>
      </c>
      <c r="T267" s="2"/>
      <c r="U267" s="2"/>
      <c r="V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 t="n">
        <f aca="false">J268*K268</f>
        <v>0</v>
      </c>
      <c r="M268" s="2" t="str">
        <f aca="false">IF(L268&gt;=15,"Critical",IF(L268&gt;=9,"High",IF(L268&gt;=4,"Medium","Low")))</f>
        <v>Low</v>
      </c>
      <c r="N268" s="2"/>
      <c r="O268" s="2"/>
      <c r="P268" s="2"/>
      <c r="Q268" s="2"/>
      <c r="R268" s="2" t="n">
        <f aca="false">P268*Q268</f>
        <v>0</v>
      </c>
      <c r="S268" s="2" t="str">
        <f aca="false">IF(R268&gt;=15,"Critical",IF(R268&gt;=9,"High",IF(R268&gt;=4,"Medium","Low")))</f>
        <v>Low</v>
      </c>
      <c r="T268" s="2"/>
      <c r="U268" s="2"/>
      <c r="V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 t="n">
        <f aca="false">J269*K269</f>
        <v>0</v>
      </c>
      <c r="M269" s="2" t="str">
        <f aca="false">IF(L269&gt;=15,"Critical",IF(L269&gt;=9,"High",IF(L269&gt;=4,"Medium","Low")))</f>
        <v>Low</v>
      </c>
      <c r="N269" s="2"/>
      <c r="O269" s="2"/>
      <c r="P269" s="2"/>
      <c r="Q269" s="2"/>
      <c r="R269" s="2" t="n">
        <f aca="false">P269*Q269</f>
        <v>0</v>
      </c>
      <c r="S269" s="2" t="str">
        <f aca="false">IF(R269&gt;=15,"Critical",IF(R269&gt;=9,"High",IF(R269&gt;=4,"Medium","Low")))</f>
        <v>Low</v>
      </c>
      <c r="T269" s="2"/>
      <c r="U269" s="2"/>
      <c r="V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 t="n">
        <f aca="false">J270*K270</f>
        <v>0</v>
      </c>
      <c r="M270" s="2" t="str">
        <f aca="false">IF(L270&gt;=15,"Critical",IF(L270&gt;=9,"High",IF(L270&gt;=4,"Medium","Low")))</f>
        <v>Low</v>
      </c>
      <c r="N270" s="2"/>
      <c r="O270" s="2"/>
      <c r="P270" s="2"/>
      <c r="Q270" s="2"/>
      <c r="R270" s="2" t="n">
        <f aca="false">P270*Q270</f>
        <v>0</v>
      </c>
      <c r="S270" s="2" t="str">
        <f aca="false">IF(R270&gt;=15,"Critical",IF(R270&gt;=9,"High",IF(R270&gt;=4,"Medium","Low")))</f>
        <v>Low</v>
      </c>
      <c r="T270" s="2"/>
      <c r="U270" s="2"/>
      <c r="V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 t="n">
        <f aca="false">J271*K271</f>
        <v>0</v>
      </c>
      <c r="M271" s="2" t="str">
        <f aca="false">IF(L271&gt;=15,"Critical",IF(L271&gt;=9,"High",IF(L271&gt;=4,"Medium","Low")))</f>
        <v>Low</v>
      </c>
      <c r="N271" s="2"/>
      <c r="O271" s="2"/>
      <c r="P271" s="2"/>
      <c r="Q271" s="2"/>
      <c r="R271" s="2" t="n">
        <f aca="false">P271*Q271</f>
        <v>0</v>
      </c>
      <c r="S271" s="2" t="str">
        <f aca="false">IF(R271&gt;=15,"Critical",IF(R271&gt;=9,"High",IF(R271&gt;=4,"Medium","Low")))</f>
        <v>Low</v>
      </c>
      <c r="T271" s="2"/>
      <c r="U271" s="2"/>
      <c r="V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 t="n">
        <f aca="false">J272*K272</f>
        <v>0</v>
      </c>
      <c r="M272" s="2" t="str">
        <f aca="false">IF(L272&gt;=15,"Critical",IF(L272&gt;=9,"High",IF(L272&gt;=4,"Medium","Low")))</f>
        <v>Low</v>
      </c>
      <c r="N272" s="2"/>
      <c r="O272" s="2"/>
      <c r="P272" s="2"/>
      <c r="Q272" s="2"/>
      <c r="R272" s="2" t="n">
        <f aca="false">P272*Q272</f>
        <v>0</v>
      </c>
      <c r="S272" s="2" t="str">
        <f aca="false">IF(R272&gt;=15,"Critical",IF(R272&gt;=9,"High",IF(R272&gt;=4,"Medium","Low")))</f>
        <v>Low</v>
      </c>
      <c r="T272" s="2"/>
      <c r="U272" s="2"/>
      <c r="V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 t="n">
        <f aca="false">J273*K273</f>
        <v>0</v>
      </c>
      <c r="M273" s="2" t="str">
        <f aca="false">IF(L273&gt;=15,"Critical",IF(L273&gt;=9,"High",IF(L273&gt;=4,"Medium","Low")))</f>
        <v>Low</v>
      </c>
      <c r="N273" s="2"/>
      <c r="O273" s="2"/>
      <c r="P273" s="2"/>
      <c r="Q273" s="2"/>
      <c r="R273" s="2" t="n">
        <f aca="false">P273*Q273</f>
        <v>0</v>
      </c>
      <c r="S273" s="2" t="str">
        <f aca="false">IF(R273&gt;=15,"Critical",IF(R273&gt;=9,"High",IF(R273&gt;=4,"Medium","Low")))</f>
        <v>Low</v>
      </c>
      <c r="T273" s="2"/>
      <c r="U273" s="2"/>
      <c r="V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 t="n">
        <f aca="false">J274*K274</f>
        <v>0</v>
      </c>
      <c r="M274" s="2" t="str">
        <f aca="false">IF(L274&gt;=15,"Critical",IF(L274&gt;=9,"High",IF(L274&gt;=4,"Medium","Low")))</f>
        <v>Low</v>
      </c>
      <c r="N274" s="2"/>
      <c r="O274" s="2"/>
      <c r="P274" s="2"/>
      <c r="Q274" s="2"/>
      <c r="R274" s="2" t="n">
        <f aca="false">P274*Q274</f>
        <v>0</v>
      </c>
      <c r="S274" s="2" t="str">
        <f aca="false">IF(R274&gt;=15,"Critical",IF(R274&gt;=9,"High",IF(R274&gt;=4,"Medium","Low")))</f>
        <v>Low</v>
      </c>
      <c r="T274" s="2"/>
      <c r="U274" s="2"/>
      <c r="V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 t="n">
        <f aca="false">J275*K275</f>
        <v>0</v>
      </c>
      <c r="M275" s="2" t="str">
        <f aca="false">IF(L275&gt;=15,"Critical",IF(L275&gt;=9,"High",IF(L275&gt;=4,"Medium","Low")))</f>
        <v>Low</v>
      </c>
      <c r="N275" s="2"/>
      <c r="O275" s="2"/>
      <c r="P275" s="2"/>
      <c r="Q275" s="2"/>
      <c r="R275" s="2" t="n">
        <f aca="false">P275*Q275</f>
        <v>0</v>
      </c>
      <c r="S275" s="2" t="str">
        <f aca="false">IF(R275&gt;=15,"Critical",IF(R275&gt;=9,"High",IF(R275&gt;=4,"Medium","Low")))</f>
        <v>Low</v>
      </c>
      <c r="T275" s="2"/>
      <c r="U275" s="2"/>
      <c r="V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 t="n">
        <f aca="false">J276*K276</f>
        <v>0</v>
      </c>
      <c r="M276" s="2" t="str">
        <f aca="false">IF(L276&gt;=15,"Critical",IF(L276&gt;=9,"High",IF(L276&gt;=4,"Medium","Low")))</f>
        <v>Low</v>
      </c>
      <c r="N276" s="2"/>
      <c r="O276" s="2"/>
      <c r="P276" s="2"/>
      <c r="Q276" s="2"/>
      <c r="R276" s="2" t="n">
        <f aca="false">P276*Q276</f>
        <v>0</v>
      </c>
      <c r="S276" s="2" t="str">
        <f aca="false">IF(R276&gt;=15,"Critical",IF(R276&gt;=9,"High",IF(R276&gt;=4,"Medium","Low")))</f>
        <v>Low</v>
      </c>
      <c r="T276" s="2"/>
      <c r="U276" s="2"/>
      <c r="V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 t="n">
        <f aca="false">J277*K277</f>
        <v>0</v>
      </c>
      <c r="M277" s="2" t="str">
        <f aca="false">IF(L277&gt;=15,"Critical",IF(L277&gt;=9,"High",IF(L277&gt;=4,"Medium","Low")))</f>
        <v>Low</v>
      </c>
      <c r="N277" s="2"/>
      <c r="O277" s="2"/>
      <c r="P277" s="2"/>
      <c r="Q277" s="2"/>
      <c r="R277" s="2" t="n">
        <f aca="false">P277*Q277</f>
        <v>0</v>
      </c>
      <c r="S277" s="2" t="str">
        <f aca="false">IF(R277&gt;=15,"Critical",IF(R277&gt;=9,"High",IF(R277&gt;=4,"Medium","Low")))</f>
        <v>Low</v>
      </c>
      <c r="T277" s="2"/>
      <c r="U277" s="2"/>
      <c r="V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 t="n">
        <f aca="false">J278*K278</f>
        <v>0</v>
      </c>
      <c r="M278" s="2" t="str">
        <f aca="false">IF(L278&gt;=15,"Critical",IF(L278&gt;=9,"High",IF(L278&gt;=4,"Medium","Low")))</f>
        <v>Low</v>
      </c>
      <c r="N278" s="2"/>
      <c r="O278" s="2"/>
      <c r="P278" s="2"/>
      <c r="Q278" s="2"/>
      <c r="R278" s="2" t="n">
        <f aca="false">P278*Q278</f>
        <v>0</v>
      </c>
      <c r="S278" s="2" t="str">
        <f aca="false">IF(R278&gt;=15,"Critical",IF(R278&gt;=9,"High",IF(R278&gt;=4,"Medium","Low")))</f>
        <v>Low</v>
      </c>
      <c r="T278" s="2"/>
      <c r="U278" s="2"/>
      <c r="V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 t="n">
        <f aca="false">J279*K279</f>
        <v>0</v>
      </c>
      <c r="M279" s="2" t="str">
        <f aca="false">IF(L279&gt;=15,"Critical",IF(L279&gt;=9,"High",IF(L279&gt;=4,"Medium","Low")))</f>
        <v>Low</v>
      </c>
      <c r="N279" s="2"/>
      <c r="O279" s="2"/>
      <c r="P279" s="2"/>
      <c r="Q279" s="2"/>
      <c r="R279" s="2" t="n">
        <f aca="false">P279*Q279</f>
        <v>0</v>
      </c>
      <c r="S279" s="2" t="str">
        <f aca="false">IF(R279&gt;=15,"Critical",IF(R279&gt;=9,"High",IF(R279&gt;=4,"Medium","Low")))</f>
        <v>Low</v>
      </c>
      <c r="T279" s="2"/>
      <c r="U279" s="2"/>
      <c r="V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 t="n">
        <f aca="false">J280*K280</f>
        <v>0</v>
      </c>
      <c r="M280" s="2" t="str">
        <f aca="false">IF(L280&gt;=15,"Critical",IF(L280&gt;=9,"High",IF(L280&gt;=4,"Medium","Low")))</f>
        <v>Low</v>
      </c>
      <c r="N280" s="2"/>
      <c r="O280" s="2"/>
      <c r="P280" s="2"/>
      <c r="Q280" s="2"/>
      <c r="R280" s="2" t="n">
        <f aca="false">P280*Q280</f>
        <v>0</v>
      </c>
      <c r="S280" s="2" t="str">
        <f aca="false">IF(R280&gt;=15,"Critical",IF(R280&gt;=9,"High",IF(R280&gt;=4,"Medium","Low")))</f>
        <v>Low</v>
      </c>
      <c r="T280" s="2"/>
      <c r="U280" s="2"/>
      <c r="V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 t="n">
        <f aca="false">J281*K281</f>
        <v>0</v>
      </c>
      <c r="M281" s="2" t="str">
        <f aca="false">IF(L281&gt;=15,"Critical",IF(L281&gt;=9,"High",IF(L281&gt;=4,"Medium","Low")))</f>
        <v>Low</v>
      </c>
      <c r="N281" s="2"/>
      <c r="O281" s="2"/>
      <c r="P281" s="2"/>
      <c r="Q281" s="2"/>
      <c r="R281" s="2" t="n">
        <f aca="false">P281*Q281</f>
        <v>0</v>
      </c>
      <c r="S281" s="2" t="str">
        <f aca="false">IF(R281&gt;=15,"Critical",IF(R281&gt;=9,"High",IF(R281&gt;=4,"Medium","Low")))</f>
        <v>Low</v>
      </c>
      <c r="T281" s="2"/>
      <c r="U281" s="2"/>
      <c r="V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 t="n">
        <f aca="false">J282*K282</f>
        <v>0</v>
      </c>
      <c r="M282" s="2" t="str">
        <f aca="false">IF(L282&gt;=15,"Critical",IF(L282&gt;=9,"High",IF(L282&gt;=4,"Medium","Low")))</f>
        <v>Low</v>
      </c>
      <c r="N282" s="2"/>
      <c r="O282" s="2"/>
      <c r="P282" s="2"/>
      <c r="Q282" s="2"/>
      <c r="R282" s="2" t="n">
        <f aca="false">P282*Q282</f>
        <v>0</v>
      </c>
      <c r="S282" s="2" t="str">
        <f aca="false">IF(R282&gt;=15,"Critical",IF(R282&gt;=9,"High",IF(R282&gt;=4,"Medium","Low")))</f>
        <v>Low</v>
      </c>
      <c r="T282" s="2"/>
      <c r="U282" s="2"/>
      <c r="V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 t="n">
        <f aca="false">J283*K283</f>
        <v>0</v>
      </c>
      <c r="M283" s="2" t="str">
        <f aca="false">IF(L283&gt;=15,"Critical",IF(L283&gt;=9,"High",IF(L283&gt;=4,"Medium","Low")))</f>
        <v>Low</v>
      </c>
      <c r="N283" s="2"/>
      <c r="O283" s="2"/>
      <c r="P283" s="2"/>
      <c r="Q283" s="2"/>
      <c r="R283" s="2" t="n">
        <f aca="false">P283*Q283</f>
        <v>0</v>
      </c>
      <c r="S283" s="2" t="str">
        <f aca="false">IF(R283&gt;=15,"Critical",IF(R283&gt;=9,"High",IF(R283&gt;=4,"Medium","Low")))</f>
        <v>Low</v>
      </c>
      <c r="T283" s="2"/>
      <c r="U283" s="2"/>
      <c r="V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 t="n">
        <f aca="false">J284*K284</f>
        <v>0</v>
      </c>
      <c r="M284" s="2" t="str">
        <f aca="false">IF(L284&gt;=15,"Critical",IF(L284&gt;=9,"High",IF(L284&gt;=4,"Medium","Low")))</f>
        <v>Low</v>
      </c>
      <c r="N284" s="2"/>
      <c r="O284" s="2"/>
      <c r="P284" s="2"/>
      <c r="Q284" s="2"/>
      <c r="R284" s="2" t="n">
        <f aca="false">P284*Q284</f>
        <v>0</v>
      </c>
      <c r="S284" s="2" t="str">
        <f aca="false">IF(R284&gt;=15,"Critical",IF(R284&gt;=9,"High",IF(R284&gt;=4,"Medium","Low")))</f>
        <v>Low</v>
      </c>
      <c r="T284" s="2"/>
      <c r="U284" s="2"/>
      <c r="V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 t="n">
        <f aca="false">J285*K285</f>
        <v>0</v>
      </c>
      <c r="M285" s="2" t="str">
        <f aca="false">IF(L285&gt;=15,"Critical",IF(L285&gt;=9,"High",IF(L285&gt;=4,"Medium","Low")))</f>
        <v>Low</v>
      </c>
      <c r="N285" s="2"/>
      <c r="O285" s="2"/>
      <c r="P285" s="2"/>
      <c r="Q285" s="2"/>
      <c r="R285" s="2" t="n">
        <f aca="false">P285*Q285</f>
        <v>0</v>
      </c>
      <c r="S285" s="2" t="str">
        <f aca="false">IF(R285&gt;=15,"Critical",IF(R285&gt;=9,"High",IF(R285&gt;=4,"Medium","Low")))</f>
        <v>Low</v>
      </c>
      <c r="T285" s="2"/>
      <c r="U285" s="2"/>
      <c r="V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 t="n">
        <f aca="false">J286*K286</f>
        <v>0</v>
      </c>
      <c r="M286" s="2" t="str">
        <f aca="false">IF(L286&gt;=15,"Critical",IF(L286&gt;=9,"High",IF(L286&gt;=4,"Medium","Low")))</f>
        <v>Low</v>
      </c>
      <c r="N286" s="2"/>
      <c r="O286" s="2"/>
      <c r="P286" s="2"/>
      <c r="Q286" s="2"/>
      <c r="R286" s="2" t="n">
        <f aca="false">P286*Q286</f>
        <v>0</v>
      </c>
      <c r="S286" s="2" t="str">
        <f aca="false">IF(R286&gt;=15,"Critical",IF(R286&gt;=9,"High",IF(R286&gt;=4,"Medium","Low")))</f>
        <v>Low</v>
      </c>
      <c r="T286" s="2"/>
      <c r="U286" s="2"/>
      <c r="V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 t="n">
        <f aca="false">J287*K287</f>
        <v>0</v>
      </c>
      <c r="M287" s="2" t="str">
        <f aca="false">IF(L287&gt;=15,"Critical",IF(L287&gt;=9,"High",IF(L287&gt;=4,"Medium","Low")))</f>
        <v>Low</v>
      </c>
      <c r="N287" s="2"/>
      <c r="O287" s="2"/>
      <c r="P287" s="2"/>
      <c r="Q287" s="2"/>
      <c r="R287" s="2" t="n">
        <f aca="false">P287*Q287</f>
        <v>0</v>
      </c>
      <c r="S287" s="2" t="str">
        <f aca="false">IF(R287&gt;=15,"Critical",IF(R287&gt;=9,"High",IF(R287&gt;=4,"Medium","Low")))</f>
        <v>Low</v>
      </c>
      <c r="T287" s="2"/>
      <c r="U287" s="2"/>
      <c r="V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 t="n">
        <f aca="false">J288*K288</f>
        <v>0</v>
      </c>
      <c r="M288" s="2" t="str">
        <f aca="false">IF(L288&gt;=15,"Critical",IF(L288&gt;=9,"High",IF(L288&gt;=4,"Medium","Low")))</f>
        <v>Low</v>
      </c>
      <c r="N288" s="2"/>
      <c r="O288" s="2"/>
      <c r="P288" s="2"/>
      <c r="Q288" s="2"/>
      <c r="R288" s="2" t="n">
        <f aca="false">P288*Q288</f>
        <v>0</v>
      </c>
      <c r="S288" s="2" t="str">
        <f aca="false">IF(R288&gt;=15,"Critical",IF(R288&gt;=9,"High",IF(R288&gt;=4,"Medium","Low")))</f>
        <v>Low</v>
      </c>
      <c r="T288" s="2"/>
      <c r="U288" s="2"/>
      <c r="V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 t="n">
        <f aca="false">J289*K289</f>
        <v>0</v>
      </c>
      <c r="M289" s="2" t="str">
        <f aca="false">IF(L289&gt;=15,"Critical",IF(L289&gt;=9,"High",IF(L289&gt;=4,"Medium","Low")))</f>
        <v>Low</v>
      </c>
      <c r="N289" s="2"/>
      <c r="O289" s="2"/>
      <c r="P289" s="2"/>
      <c r="Q289" s="2"/>
      <c r="R289" s="2" t="n">
        <f aca="false">P289*Q289</f>
        <v>0</v>
      </c>
      <c r="S289" s="2" t="str">
        <f aca="false">IF(R289&gt;=15,"Critical",IF(R289&gt;=9,"High",IF(R289&gt;=4,"Medium","Low")))</f>
        <v>Low</v>
      </c>
      <c r="T289" s="2"/>
      <c r="U289" s="2"/>
      <c r="V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 t="n">
        <f aca="false">J290*K290</f>
        <v>0</v>
      </c>
      <c r="M290" s="2" t="str">
        <f aca="false">IF(L290&gt;=15,"Critical",IF(L290&gt;=9,"High",IF(L290&gt;=4,"Medium","Low")))</f>
        <v>Low</v>
      </c>
      <c r="N290" s="2"/>
      <c r="O290" s="2"/>
      <c r="P290" s="2"/>
      <c r="Q290" s="2"/>
      <c r="R290" s="2" t="n">
        <f aca="false">P290*Q290</f>
        <v>0</v>
      </c>
      <c r="S290" s="2" t="str">
        <f aca="false">IF(R290&gt;=15,"Critical",IF(R290&gt;=9,"High",IF(R290&gt;=4,"Medium","Low")))</f>
        <v>Low</v>
      </c>
      <c r="T290" s="2"/>
      <c r="U290" s="2"/>
      <c r="V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 t="n">
        <f aca="false">J291*K291</f>
        <v>0</v>
      </c>
      <c r="M291" s="2" t="str">
        <f aca="false">IF(L291&gt;=15,"Critical",IF(L291&gt;=9,"High",IF(L291&gt;=4,"Medium","Low")))</f>
        <v>Low</v>
      </c>
      <c r="N291" s="2"/>
      <c r="O291" s="2"/>
      <c r="P291" s="2"/>
      <c r="Q291" s="2"/>
      <c r="R291" s="2" t="n">
        <f aca="false">P291*Q291</f>
        <v>0</v>
      </c>
      <c r="S291" s="2" t="str">
        <f aca="false">IF(R291&gt;=15,"Critical",IF(R291&gt;=9,"High",IF(R291&gt;=4,"Medium","Low")))</f>
        <v>Low</v>
      </c>
      <c r="T291" s="2"/>
      <c r="U291" s="2"/>
      <c r="V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 t="n">
        <f aca="false">J292*K292</f>
        <v>0</v>
      </c>
      <c r="M292" s="2" t="str">
        <f aca="false">IF(L292&gt;=15,"Critical",IF(L292&gt;=9,"High",IF(L292&gt;=4,"Medium","Low")))</f>
        <v>Low</v>
      </c>
      <c r="N292" s="2"/>
      <c r="O292" s="2"/>
      <c r="P292" s="2"/>
      <c r="Q292" s="2"/>
      <c r="R292" s="2" t="n">
        <f aca="false">P292*Q292</f>
        <v>0</v>
      </c>
      <c r="S292" s="2" t="str">
        <f aca="false">IF(R292&gt;=15,"Critical",IF(R292&gt;=9,"High",IF(R292&gt;=4,"Medium","Low")))</f>
        <v>Low</v>
      </c>
      <c r="T292" s="2"/>
      <c r="U292" s="2"/>
      <c r="V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 t="n">
        <f aca="false">J293*K293</f>
        <v>0</v>
      </c>
      <c r="M293" s="2" t="str">
        <f aca="false">IF(L293&gt;=15,"Critical",IF(L293&gt;=9,"High",IF(L293&gt;=4,"Medium","Low")))</f>
        <v>Low</v>
      </c>
      <c r="N293" s="2"/>
      <c r="O293" s="2"/>
      <c r="P293" s="2"/>
      <c r="Q293" s="2"/>
      <c r="R293" s="2" t="n">
        <f aca="false">P293*Q293</f>
        <v>0</v>
      </c>
      <c r="S293" s="2" t="str">
        <f aca="false">IF(R293&gt;=15,"Critical",IF(R293&gt;=9,"High",IF(R293&gt;=4,"Medium","Low")))</f>
        <v>Low</v>
      </c>
      <c r="T293" s="2"/>
      <c r="U293" s="2"/>
      <c r="V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 t="n">
        <f aca="false">J294*K294</f>
        <v>0</v>
      </c>
      <c r="M294" s="2" t="str">
        <f aca="false">IF(L294&gt;=15,"Critical",IF(L294&gt;=9,"High",IF(L294&gt;=4,"Medium","Low")))</f>
        <v>Low</v>
      </c>
      <c r="N294" s="2"/>
      <c r="O294" s="2"/>
      <c r="P294" s="2"/>
      <c r="Q294" s="2"/>
      <c r="R294" s="2" t="n">
        <f aca="false">P294*Q294</f>
        <v>0</v>
      </c>
      <c r="S294" s="2" t="str">
        <f aca="false">IF(R294&gt;=15,"Critical",IF(R294&gt;=9,"High",IF(R294&gt;=4,"Medium","Low")))</f>
        <v>Low</v>
      </c>
      <c r="T294" s="2"/>
      <c r="U294" s="2"/>
      <c r="V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 t="n">
        <f aca="false">J295*K295</f>
        <v>0</v>
      </c>
      <c r="M295" s="2" t="str">
        <f aca="false">IF(L295&gt;=15,"Critical",IF(L295&gt;=9,"High",IF(L295&gt;=4,"Medium","Low")))</f>
        <v>Low</v>
      </c>
      <c r="N295" s="2"/>
      <c r="O295" s="2"/>
      <c r="P295" s="2"/>
      <c r="Q295" s="2"/>
      <c r="R295" s="2" t="n">
        <f aca="false">P295*Q295</f>
        <v>0</v>
      </c>
      <c r="S295" s="2" t="str">
        <f aca="false">IF(R295&gt;=15,"Critical",IF(R295&gt;=9,"High",IF(R295&gt;=4,"Medium","Low")))</f>
        <v>Low</v>
      </c>
      <c r="T295" s="2"/>
      <c r="U295" s="2"/>
      <c r="V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 t="n">
        <f aca="false">J296*K296</f>
        <v>0</v>
      </c>
      <c r="M296" s="2" t="str">
        <f aca="false">IF(L296&gt;=15,"Critical",IF(L296&gt;=9,"High",IF(L296&gt;=4,"Medium","Low")))</f>
        <v>Low</v>
      </c>
      <c r="N296" s="2"/>
      <c r="O296" s="2"/>
      <c r="P296" s="2"/>
      <c r="Q296" s="2"/>
      <c r="R296" s="2" t="n">
        <f aca="false">P296*Q296</f>
        <v>0</v>
      </c>
      <c r="S296" s="2" t="str">
        <f aca="false">IF(R296&gt;=15,"Critical",IF(R296&gt;=9,"High",IF(R296&gt;=4,"Medium","Low")))</f>
        <v>Low</v>
      </c>
      <c r="T296" s="2"/>
      <c r="U296" s="2"/>
      <c r="V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 t="n">
        <f aca="false">J297*K297</f>
        <v>0</v>
      </c>
      <c r="M297" s="2" t="str">
        <f aca="false">IF(L297&gt;=15,"Critical",IF(L297&gt;=9,"High",IF(L297&gt;=4,"Medium","Low")))</f>
        <v>Low</v>
      </c>
      <c r="N297" s="2"/>
      <c r="O297" s="2"/>
      <c r="P297" s="2"/>
      <c r="Q297" s="2"/>
      <c r="R297" s="2" t="n">
        <f aca="false">P297*Q297</f>
        <v>0</v>
      </c>
      <c r="S297" s="2" t="str">
        <f aca="false">IF(R297&gt;=15,"Critical",IF(R297&gt;=9,"High",IF(R297&gt;=4,"Medium","Low")))</f>
        <v>Low</v>
      </c>
      <c r="T297" s="2"/>
      <c r="U297" s="2"/>
      <c r="V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 t="n">
        <f aca="false">J298*K298</f>
        <v>0</v>
      </c>
      <c r="M298" s="2" t="str">
        <f aca="false">IF(L298&gt;=15,"Critical",IF(L298&gt;=9,"High",IF(L298&gt;=4,"Medium","Low")))</f>
        <v>Low</v>
      </c>
      <c r="N298" s="2"/>
      <c r="O298" s="2"/>
      <c r="P298" s="2"/>
      <c r="Q298" s="2"/>
      <c r="R298" s="2" t="n">
        <f aca="false">P298*Q298</f>
        <v>0</v>
      </c>
      <c r="S298" s="2" t="str">
        <f aca="false">IF(R298&gt;=15,"Critical",IF(R298&gt;=9,"High",IF(R298&gt;=4,"Medium","Low")))</f>
        <v>Low</v>
      </c>
      <c r="T298" s="2"/>
      <c r="U298" s="2"/>
      <c r="V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 t="n">
        <f aca="false">J299*K299</f>
        <v>0</v>
      </c>
      <c r="M299" s="2" t="str">
        <f aca="false">IF(L299&gt;=15,"Critical",IF(L299&gt;=9,"High",IF(L299&gt;=4,"Medium","Low")))</f>
        <v>Low</v>
      </c>
      <c r="N299" s="2"/>
      <c r="O299" s="2"/>
      <c r="P299" s="2"/>
      <c r="Q299" s="2"/>
      <c r="R299" s="2" t="n">
        <f aca="false">P299*Q299</f>
        <v>0</v>
      </c>
      <c r="S299" s="2" t="str">
        <f aca="false">IF(R299&gt;=15,"Critical",IF(R299&gt;=9,"High",IF(R299&gt;=4,"Medium","Low")))</f>
        <v>Low</v>
      </c>
      <c r="T299" s="2"/>
      <c r="U299" s="2"/>
      <c r="V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 t="n">
        <f aca="false">J300*K300</f>
        <v>0</v>
      </c>
      <c r="M300" s="2" t="str">
        <f aca="false">IF(L300&gt;=15,"Critical",IF(L300&gt;=9,"High",IF(L300&gt;=4,"Medium","Low")))</f>
        <v>Low</v>
      </c>
      <c r="N300" s="2"/>
      <c r="O300" s="2"/>
      <c r="P300" s="2"/>
      <c r="Q300" s="2"/>
      <c r="R300" s="2" t="n">
        <f aca="false">P300*Q300</f>
        <v>0</v>
      </c>
      <c r="S300" s="2" t="str">
        <f aca="false">IF(R300&gt;=15,"Critical",IF(R300&gt;=9,"High",IF(R300&gt;=4,"Medium","Low")))</f>
        <v>Low</v>
      </c>
      <c r="T300" s="2"/>
      <c r="U300" s="2"/>
      <c r="V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 t="n">
        <f aca="false">J301*K301</f>
        <v>0</v>
      </c>
      <c r="M301" s="2" t="str">
        <f aca="false">IF(L301&gt;=15,"Critical",IF(L301&gt;=9,"High",IF(L301&gt;=4,"Medium","Low")))</f>
        <v>Low</v>
      </c>
      <c r="N301" s="2"/>
      <c r="O301" s="2"/>
      <c r="P301" s="2"/>
      <c r="Q301" s="2"/>
      <c r="R301" s="2" t="n">
        <f aca="false">P301*Q301</f>
        <v>0</v>
      </c>
      <c r="S301" s="2" t="str">
        <f aca="false">IF(R301&gt;=15,"Critical",IF(R301&gt;=9,"High",IF(R301&gt;=4,"Medium","Low")))</f>
        <v>Low</v>
      </c>
      <c r="T301" s="2"/>
      <c r="U301" s="2"/>
      <c r="V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 t="n">
        <f aca="false">J302*K302</f>
        <v>0</v>
      </c>
      <c r="M302" s="2" t="str">
        <f aca="false">IF(L302&gt;=15,"Critical",IF(L302&gt;=9,"High",IF(L302&gt;=4,"Medium","Low")))</f>
        <v>Low</v>
      </c>
      <c r="N302" s="2"/>
      <c r="O302" s="2"/>
      <c r="P302" s="2"/>
      <c r="Q302" s="2"/>
      <c r="R302" s="2" t="n">
        <f aca="false">P302*Q302</f>
        <v>0</v>
      </c>
      <c r="S302" s="2" t="str">
        <f aca="false">IF(R302&gt;=15,"Critical",IF(R302&gt;=9,"High",IF(R302&gt;=4,"Medium","Low")))</f>
        <v>Low</v>
      </c>
      <c r="T302" s="2"/>
      <c r="U302" s="2"/>
      <c r="V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 t="n">
        <f aca="false">J303*K303</f>
        <v>0</v>
      </c>
      <c r="M303" s="2" t="str">
        <f aca="false">IF(L303&gt;=15,"Critical",IF(L303&gt;=9,"High",IF(L303&gt;=4,"Medium","Low")))</f>
        <v>Low</v>
      </c>
      <c r="N303" s="2"/>
      <c r="O303" s="2"/>
      <c r="P303" s="2"/>
      <c r="Q303" s="2"/>
      <c r="R303" s="2" t="n">
        <f aca="false">P303*Q303</f>
        <v>0</v>
      </c>
      <c r="S303" s="2" t="str">
        <f aca="false">IF(R303&gt;=15,"Critical",IF(R303&gt;=9,"High",IF(R303&gt;=4,"Medium","Low")))</f>
        <v>Low</v>
      </c>
      <c r="T303" s="2"/>
      <c r="U303" s="2"/>
      <c r="V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 t="n">
        <f aca="false">J304*K304</f>
        <v>0</v>
      </c>
      <c r="M304" s="2" t="str">
        <f aca="false">IF(L304&gt;=15,"Critical",IF(L304&gt;=9,"High",IF(L304&gt;=4,"Medium","Low")))</f>
        <v>Low</v>
      </c>
      <c r="N304" s="2"/>
      <c r="O304" s="2"/>
      <c r="P304" s="2"/>
      <c r="Q304" s="2"/>
      <c r="R304" s="2" t="n">
        <f aca="false">P304*Q304</f>
        <v>0</v>
      </c>
      <c r="S304" s="2" t="str">
        <f aca="false">IF(R304&gt;=15,"Critical",IF(R304&gt;=9,"High",IF(R304&gt;=4,"Medium","Low")))</f>
        <v>Low</v>
      </c>
      <c r="T304" s="2"/>
      <c r="U304" s="2"/>
      <c r="V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 t="n">
        <f aca="false">J305*K305</f>
        <v>0</v>
      </c>
      <c r="M305" s="2" t="str">
        <f aca="false">IF(L305&gt;=15,"Critical",IF(L305&gt;=9,"High",IF(L305&gt;=4,"Medium","Low")))</f>
        <v>Low</v>
      </c>
      <c r="N305" s="2"/>
      <c r="O305" s="2"/>
      <c r="P305" s="2"/>
      <c r="Q305" s="2"/>
      <c r="R305" s="2" t="n">
        <f aca="false">P305*Q305</f>
        <v>0</v>
      </c>
      <c r="S305" s="2" t="str">
        <f aca="false">IF(R305&gt;=15,"Critical",IF(R305&gt;=9,"High",IF(R305&gt;=4,"Medium","Low")))</f>
        <v>Low</v>
      </c>
      <c r="T305" s="2"/>
      <c r="U305" s="2"/>
      <c r="V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 t="n">
        <f aca="false">J306*K306</f>
        <v>0</v>
      </c>
      <c r="M306" s="2" t="str">
        <f aca="false">IF(L306&gt;=15,"Critical",IF(L306&gt;=9,"High",IF(L306&gt;=4,"Medium","Low")))</f>
        <v>Low</v>
      </c>
      <c r="N306" s="2"/>
      <c r="O306" s="2"/>
      <c r="P306" s="2"/>
      <c r="Q306" s="2"/>
      <c r="R306" s="2" t="n">
        <f aca="false">P306*Q306</f>
        <v>0</v>
      </c>
      <c r="S306" s="2" t="str">
        <f aca="false">IF(R306&gt;=15,"Critical",IF(R306&gt;=9,"High",IF(R306&gt;=4,"Medium","Low")))</f>
        <v>Low</v>
      </c>
      <c r="T306" s="2"/>
      <c r="U306" s="2"/>
      <c r="V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 t="n">
        <f aca="false">J307*K307</f>
        <v>0</v>
      </c>
      <c r="M307" s="2" t="str">
        <f aca="false">IF(L307&gt;=15,"Critical",IF(L307&gt;=9,"High",IF(L307&gt;=4,"Medium","Low")))</f>
        <v>Low</v>
      </c>
      <c r="N307" s="2"/>
      <c r="O307" s="2"/>
      <c r="P307" s="2"/>
      <c r="Q307" s="2"/>
      <c r="R307" s="2" t="n">
        <f aca="false">P307*Q307</f>
        <v>0</v>
      </c>
      <c r="S307" s="2" t="str">
        <f aca="false">IF(R307&gt;=15,"Critical",IF(R307&gt;=9,"High",IF(R307&gt;=4,"Medium","Low")))</f>
        <v>Low</v>
      </c>
      <c r="T307" s="2"/>
      <c r="U307" s="2"/>
      <c r="V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 t="n">
        <f aca="false">J308*K308</f>
        <v>0</v>
      </c>
      <c r="M308" s="2" t="str">
        <f aca="false">IF(L308&gt;=15,"Critical",IF(L308&gt;=9,"High",IF(L308&gt;=4,"Medium","Low")))</f>
        <v>Low</v>
      </c>
      <c r="N308" s="2"/>
      <c r="O308" s="2"/>
      <c r="P308" s="2"/>
      <c r="Q308" s="2"/>
      <c r="R308" s="2" t="n">
        <f aca="false">P308*Q308</f>
        <v>0</v>
      </c>
      <c r="S308" s="2" t="str">
        <f aca="false">IF(R308&gt;=15,"Critical",IF(R308&gt;=9,"High",IF(R308&gt;=4,"Medium","Low")))</f>
        <v>Low</v>
      </c>
      <c r="T308" s="2"/>
      <c r="U308" s="2"/>
      <c r="V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 t="n">
        <f aca="false">J309*K309</f>
        <v>0</v>
      </c>
      <c r="M309" s="2" t="str">
        <f aca="false">IF(L309&gt;=15,"Critical",IF(L309&gt;=9,"High",IF(L309&gt;=4,"Medium","Low")))</f>
        <v>Low</v>
      </c>
      <c r="N309" s="2"/>
      <c r="O309" s="2"/>
      <c r="P309" s="2"/>
      <c r="Q309" s="2"/>
      <c r="R309" s="2" t="n">
        <f aca="false">P309*Q309</f>
        <v>0</v>
      </c>
      <c r="S309" s="2" t="str">
        <f aca="false">IF(R309&gt;=15,"Critical",IF(R309&gt;=9,"High",IF(R309&gt;=4,"Medium","Low")))</f>
        <v>Low</v>
      </c>
      <c r="T309" s="2"/>
      <c r="U309" s="2"/>
      <c r="V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 t="n">
        <f aca="false">J310*K310</f>
        <v>0</v>
      </c>
      <c r="M310" s="2" t="str">
        <f aca="false">IF(L310&gt;=15,"Critical",IF(L310&gt;=9,"High",IF(L310&gt;=4,"Medium","Low")))</f>
        <v>Low</v>
      </c>
      <c r="N310" s="2"/>
      <c r="O310" s="2"/>
      <c r="P310" s="2"/>
      <c r="Q310" s="2"/>
      <c r="R310" s="2" t="n">
        <f aca="false">P310*Q310</f>
        <v>0</v>
      </c>
      <c r="S310" s="2" t="str">
        <f aca="false">IF(R310&gt;=15,"Critical",IF(R310&gt;=9,"High",IF(R310&gt;=4,"Medium","Low")))</f>
        <v>Low</v>
      </c>
      <c r="T310" s="2"/>
      <c r="U310" s="2"/>
      <c r="V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 t="n">
        <f aca="false">J311*K311</f>
        <v>0</v>
      </c>
      <c r="M311" s="2" t="str">
        <f aca="false">IF(L311&gt;=15,"Critical",IF(L311&gt;=9,"High",IF(L311&gt;=4,"Medium","Low")))</f>
        <v>Low</v>
      </c>
      <c r="N311" s="2"/>
      <c r="O311" s="2"/>
      <c r="P311" s="2"/>
      <c r="Q311" s="2"/>
      <c r="R311" s="2" t="n">
        <f aca="false">P311*Q311</f>
        <v>0</v>
      </c>
      <c r="S311" s="2" t="str">
        <f aca="false">IF(R311&gt;=15,"Critical",IF(R311&gt;=9,"High",IF(R311&gt;=4,"Medium","Low")))</f>
        <v>Low</v>
      </c>
      <c r="T311" s="2"/>
      <c r="U311" s="2"/>
      <c r="V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 t="n">
        <f aca="false">J312*K312</f>
        <v>0</v>
      </c>
      <c r="M312" s="2" t="str">
        <f aca="false">IF(L312&gt;=15,"Critical",IF(L312&gt;=9,"High",IF(L312&gt;=4,"Medium","Low")))</f>
        <v>Low</v>
      </c>
      <c r="N312" s="2"/>
      <c r="O312" s="2"/>
      <c r="P312" s="2"/>
      <c r="Q312" s="2"/>
      <c r="R312" s="2" t="n">
        <f aca="false">P312*Q312</f>
        <v>0</v>
      </c>
      <c r="S312" s="2" t="str">
        <f aca="false">IF(R312&gt;=15,"Critical",IF(R312&gt;=9,"High",IF(R312&gt;=4,"Medium","Low")))</f>
        <v>Low</v>
      </c>
      <c r="T312" s="2"/>
      <c r="U312" s="2"/>
      <c r="V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 t="n">
        <f aca="false">J313*K313</f>
        <v>0</v>
      </c>
      <c r="M313" s="2" t="str">
        <f aca="false">IF(L313&gt;=15,"Critical",IF(L313&gt;=9,"High",IF(L313&gt;=4,"Medium","Low")))</f>
        <v>Low</v>
      </c>
      <c r="N313" s="2"/>
      <c r="O313" s="2"/>
      <c r="P313" s="2"/>
      <c r="Q313" s="2"/>
      <c r="R313" s="2" t="n">
        <f aca="false">P313*Q313</f>
        <v>0</v>
      </c>
      <c r="S313" s="2" t="str">
        <f aca="false">IF(R313&gt;=15,"Critical",IF(R313&gt;=9,"High",IF(R313&gt;=4,"Medium","Low")))</f>
        <v>Low</v>
      </c>
      <c r="T313" s="2"/>
      <c r="U313" s="2"/>
      <c r="V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 t="n">
        <f aca="false">J314*K314</f>
        <v>0</v>
      </c>
      <c r="M314" s="2" t="str">
        <f aca="false">IF(L314&gt;=15,"Critical",IF(L314&gt;=9,"High",IF(L314&gt;=4,"Medium","Low")))</f>
        <v>Low</v>
      </c>
      <c r="N314" s="2"/>
      <c r="O314" s="2"/>
      <c r="P314" s="2"/>
      <c r="Q314" s="2"/>
      <c r="R314" s="2" t="n">
        <f aca="false">P314*Q314</f>
        <v>0</v>
      </c>
      <c r="S314" s="2" t="str">
        <f aca="false">IF(R314&gt;=15,"Critical",IF(R314&gt;=9,"High",IF(R314&gt;=4,"Medium","Low")))</f>
        <v>Low</v>
      </c>
      <c r="T314" s="2"/>
      <c r="U314" s="2"/>
      <c r="V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 t="n">
        <f aca="false">J315*K315</f>
        <v>0</v>
      </c>
      <c r="M315" s="2" t="str">
        <f aca="false">IF(L315&gt;=15,"Critical",IF(L315&gt;=9,"High",IF(L315&gt;=4,"Medium","Low")))</f>
        <v>Low</v>
      </c>
      <c r="N315" s="2"/>
      <c r="O315" s="2"/>
      <c r="P315" s="2"/>
      <c r="Q315" s="2"/>
      <c r="R315" s="2" t="n">
        <f aca="false">P315*Q315</f>
        <v>0</v>
      </c>
      <c r="S315" s="2" t="str">
        <f aca="false">IF(R315&gt;=15,"Critical",IF(R315&gt;=9,"High",IF(R315&gt;=4,"Medium","Low")))</f>
        <v>Low</v>
      </c>
      <c r="T315" s="2"/>
      <c r="U315" s="2"/>
      <c r="V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 t="n">
        <f aca="false">J316*K316</f>
        <v>0</v>
      </c>
      <c r="M316" s="2" t="str">
        <f aca="false">IF(L316&gt;=15,"Critical",IF(L316&gt;=9,"High",IF(L316&gt;=4,"Medium","Low")))</f>
        <v>Low</v>
      </c>
      <c r="N316" s="2"/>
      <c r="O316" s="2"/>
      <c r="P316" s="2"/>
      <c r="Q316" s="2"/>
      <c r="R316" s="2" t="n">
        <f aca="false">P316*Q316</f>
        <v>0</v>
      </c>
      <c r="S316" s="2" t="str">
        <f aca="false">IF(R316&gt;=15,"Critical",IF(R316&gt;=9,"High",IF(R316&gt;=4,"Medium","Low")))</f>
        <v>Low</v>
      </c>
      <c r="T316" s="2"/>
      <c r="U316" s="2"/>
      <c r="V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 t="n">
        <f aca="false">J317*K317</f>
        <v>0</v>
      </c>
      <c r="M317" s="2" t="str">
        <f aca="false">IF(L317&gt;=15,"Critical",IF(L317&gt;=9,"High",IF(L317&gt;=4,"Medium","Low")))</f>
        <v>Low</v>
      </c>
      <c r="N317" s="2"/>
      <c r="O317" s="2"/>
      <c r="P317" s="2"/>
      <c r="Q317" s="2"/>
      <c r="R317" s="2" t="n">
        <f aca="false">P317*Q317</f>
        <v>0</v>
      </c>
      <c r="S317" s="2" t="str">
        <f aca="false">IF(R317&gt;=15,"Critical",IF(R317&gt;=9,"High",IF(R317&gt;=4,"Medium","Low")))</f>
        <v>Low</v>
      </c>
      <c r="T317" s="2"/>
      <c r="U317" s="2"/>
      <c r="V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 t="n">
        <f aca="false">J318*K318</f>
        <v>0</v>
      </c>
      <c r="M318" s="2" t="str">
        <f aca="false">IF(L318&gt;=15,"Critical",IF(L318&gt;=9,"High",IF(L318&gt;=4,"Medium","Low")))</f>
        <v>Low</v>
      </c>
      <c r="N318" s="2"/>
      <c r="O318" s="2"/>
      <c r="P318" s="2"/>
      <c r="Q318" s="2"/>
      <c r="R318" s="2" t="n">
        <f aca="false">P318*Q318</f>
        <v>0</v>
      </c>
      <c r="S318" s="2" t="str">
        <f aca="false">IF(R318&gt;=15,"Critical",IF(R318&gt;=9,"High",IF(R318&gt;=4,"Medium","Low")))</f>
        <v>Low</v>
      </c>
      <c r="T318" s="2"/>
      <c r="U318" s="2"/>
      <c r="V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 t="n">
        <f aca="false">J319*K319</f>
        <v>0</v>
      </c>
      <c r="M319" s="2" t="str">
        <f aca="false">IF(L319&gt;=15,"Critical",IF(L319&gt;=9,"High",IF(L319&gt;=4,"Medium","Low")))</f>
        <v>Low</v>
      </c>
      <c r="N319" s="2"/>
      <c r="O319" s="2"/>
      <c r="P319" s="2"/>
      <c r="Q319" s="2"/>
      <c r="R319" s="2" t="n">
        <f aca="false">P319*Q319</f>
        <v>0</v>
      </c>
      <c r="S319" s="2" t="str">
        <f aca="false">IF(R319&gt;=15,"Critical",IF(R319&gt;=9,"High",IF(R319&gt;=4,"Medium","Low")))</f>
        <v>Low</v>
      </c>
      <c r="T319" s="2"/>
      <c r="U319" s="2"/>
      <c r="V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 t="n">
        <f aca="false">J320*K320</f>
        <v>0</v>
      </c>
      <c r="M320" s="2" t="str">
        <f aca="false">IF(L320&gt;=15,"Critical",IF(L320&gt;=9,"High",IF(L320&gt;=4,"Medium","Low")))</f>
        <v>Low</v>
      </c>
      <c r="N320" s="2"/>
      <c r="O320" s="2"/>
      <c r="P320" s="2"/>
      <c r="Q320" s="2"/>
      <c r="R320" s="2" t="n">
        <f aca="false">P320*Q320</f>
        <v>0</v>
      </c>
      <c r="S320" s="2" t="str">
        <f aca="false">IF(R320&gt;=15,"Critical",IF(R320&gt;=9,"High",IF(R320&gt;=4,"Medium","Low")))</f>
        <v>Low</v>
      </c>
      <c r="T320" s="2"/>
      <c r="U320" s="2"/>
      <c r="V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 t="n">
        <f aca="false">J321*K321</f>
        <v>0</v>
      </c>
      <c r="M321" s="2" t="str">
        <f aca="false">IF(L321&gt;=15,"Critical",IF(L321&gt;=9,"High",IF(L321&gt;=4,"Medium","Low")))</f>
        <v>Low</v>
      </c>
      <c r="N321" s="2"/>
      <c r="O321" s="2"/>
      <c r="P321" s="2"/>
      <c r="Q321" s="2"/>
      <c r="R321" s="2" t="n">
        <f aca="false">P321*Q321</f>
        <v>0</v>
      </c>
      <c r="S321" s="2" t="str">
        <f aca="false">IF(R321&gt;=15,"Critical",IF(R321&gt;=9,"High",IF(R321&gt;=4,"Medium","Low")))</f>
        <v>Low</v>
      </c>
      <c r="T321" s="2"/>
      <c r="U321" s="2"/>
      <c r="V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 t="n">
        <f aca="false">J322*K322</f>
        <v>0</v>
      </c>
      <c r="M322" s="2" t="str">
        <f aca="false">IF(L322&gt;=15,"Critical",IF(L322&gt;=9,"High",IF(L322&gt;=4,"Medium","Low")))</f>
        <v>Low</v>
      </c>
      <c r="N322" s="2"/>
      <c r="O322" s="2"/>
      <c r="P322" s="2"/>
      <c r="Q322" s="2"/>
      <c r="R322" s="2" t="n">
        <f aca="false">P322*Q322</f>
        <v>0</v>
      </c>
      <c r="S322" s="2" t="str">
        <f aca="false">IF(R322&gt;=15,"Critical",IF(R322&gt;=9,"High",IF(R322&gt;=4,"Medium","Low")))</f>
        <v>Low</v>
      </c>
      <c r="T322" s="2"/>
      <c r="U322" s="2"/>
      <c r="V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 t="n">
        <f aca="false">J323*K323</f>
        <v>0</v>
      </c>
      <c r="M323" s="2" t="str">
        <f aca="false">IF(L323&gt;=15,"Critical",IF(L323&gt;=9,"High",IF(L323&gt;=4,"Medium","Low")))</f>
        <v>Low</v>
      </c>
      <c r="N323" s="2"/>
      <c r="O323" s="2"/>
      <c r="P323" s="2"/>
      <c r="Q323" s="2"/>
      <c r="R323" s="2" t="n">
        <f aca="false">P323*Q323</f>
        <v>0</v>
      </c>
      <c r="S323" s="2" t="str">
        <f aca="false">IF(R323&gt;=15,"Critical",IF(R323&gt;=9,"High",IF(R323&gt;=4,"Medium","Low")))</f>
        <v>Low</v>
      </c>
      <c r="T323" s="2"/>
      <c r="U323" s="2"/>
      <c r="V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 t="n">
        <f aca="false">J324*K324</f>
        <v>0</v>
      </c>
      <c r="M324" s="2" t="str">
        <f aca="false">IF(L324&gt;=15,"Critical",IF(L324&gt;=9,"High",IF(L324&gt;=4,"Medium","Low")))</f>
        <v>Low</v>
      </c>
      <c r="N324" s="2"/>
      <c r="O324" s="2"/>
      <c r="P324" s="2"/>
      <c r="Q324" s="2"/>
      <c r="R324" s="2" t="n">
        <f aca="false">P324*Q324</f>
        <v>0</v>
      </c>
      <c r="S324" s="2" t="str">
        <f aca="false">IF(R324&gt;=15,"Critical",IF(R324&gt;=9,"High",IF(R324&gt;=4,"Medium","Low")))</f>
        <v>Low</v>
      </c>
      <c r="T324" s="2"/>
      <c r="U324" s="2"/>
      <c r="V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 t="n">
        <f aca="false">J325*K325</f>
        <v>0</v>
      </c>
      <c r="M325" s="2" t="str">
        <f aca="false">IF(L325&gt;=15,"Critical",IF(L325&gt;=9,"High",IF(L325&gt;=4,"Medium","Low")))</f>
        <v>Low</v>
      </c>
      <c r="N325" s="2"/>
      <c r="O325" s="2"/>
      <c r="P325" s="2"/>
      <c r="Q325" s="2"/>
      <c r="R325" s="2" t="n">
        <f aca="false">P325*Q325</f>
        <v>0</v>
      </c>
      <c r="S325" s="2" t="str">
        <f aca="false">IF(R325&gt;=15,"Critical",IF(R325&gt;=9,"High",IF(R325&gt;=4,"Medium","Low")))</f>
        <v>Low</v>
      </c>
      <c r="T325" s="2"/>
      <c r="U325" s="2"/>
      <c r="V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 t="n">
        <f aca="false">J326*K326</f>
        <v>0</v>
      </c>
      <c r="M326" s="2" t="str">
        <f aca="false">IF(L326&gt;=15,"Critical",IF(L326&gt;=9,"High",IF(L326&gt;=4,"Medium","Low")))</f>
        <v>Low</v>
      </c>
      <c r="N326" s="2"/>
      <c r="O326" s="2"/>
      <c r="P326" s="2"/>
      <c r="Q326" s="2"/>
      <c r="R326" s="2" t="n">
        <f aca="false">P326*Q326</f>
        <v>0</v>
      </c>
      <c r="S326" s="2" t="str">
        <f aca="false">IF(R326&gt;=15,"Critical",IF(R326&gt;=9,"High",IF(R326&gt;=4,"Medium","Low")))</f>
        <v>Low</v>
      </c>
      <c r="T326" s="2"/>
      <c r="U326" s="2"/>
      <c r="V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 t="n">
        <f aca="false">J327*K327</f>
        <v>0</v>
      </c>
      <c r="M327" s="2" t="str">
        <f aca="false">IF(L327&gt;=15,"Critical",IF(L327&gt;=9,"High",IF(L327&gt;=4,"Medium","Low")))</f>
        <v>Low</v>
      </c>
      <c r="N327" s="2"/>
      <c r="O327" s="2"/>
      <c r="P327" s="2"/>
      <c r="Q327" s="2"/>
      <c r="R327" s="2" t="n">
        <f aca="false">P327*Q327</f>
        <v>0</v>
      </c>
      <c r="S327" s="2" t="str">
        <f aca="false">IF(R327&gt;=15,"Critical",IF(R327&gt;=9,"High",IF(R327&gt;=4,"Medium","Low")))</f>
        <v>Low</v>
      </c>
      <c r="T327" s="2"/>
      <c r="U327" s="2"/>
      <c r="V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 t="n">
        <f aca="false">J328*K328</f>
        <v>0</v>
      </c>
      <c r="M328" s="2" t="str">
        <f aca="false">IF(L328&gt;=15,"Critical",IF(L328&gt;=9,"High",IF(L328&gt;=4,"Medium","Low")))</f>
        <v>Low</v>
      </c>
      <c r="N328" s="2"/>
      <c r="O328" s="2"/>
      <c r="P328" s="2"/>
      <c r="Q328" s="2"/>
      <c r="R328" s="2" t="n">
        <f aca="false">P328*Q328</f>
        <v>0</v>
      </c>
      <c r="S328" s="2" t="str">
        <f aca="false">IF(R328&gt;=15,"Critical",IF(R328&gt;=9,"High",IF(R328&gt;=4,"Medium","Low")))</f>
        <v>Low</v>
      </c>
      <c r="T328" s="2"/>
      <c r="U328" s="2"/>
      <c r="V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 t="n">
        <f aca="false">J329*K329</f>
        <v>0</v>
      </c>
      <c r="M329" s="2" t="str">
        <f aca="false">IF(L329&gt;=15,"Critical",IF(L329&gt;=9,"High",IF(L329&gt;=4,"Medium","Low")))</f>
        <v>Low</v>
      </c>
      <c r="N329" s="2"/>
      <c r="O329" s="2"/>
      <c r="P329" s="2"/>
      <c r="Q329" s="2"/>
      <c r="R329" s="2" t="n">
        <f aca="false">P329*Q329</f>
        <v>0</v>
      </c>
      <c r="S329" s="2" t="str">
        <f aca="false">IF(R329&gt;=15,"Critical",IF(R329&gt;=9,"High",IF(R329&gt;=4,"Medium","Low")))</f>
        <v>Low</v>
      </c>
      <c r="T329" s="2"/>
      <c r="U329" s="2"/>
      <c r="V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 t="n">
        <f aca="false">J330*K330</f>
        <v>0</v>
      </c>
      <c r="M330" s="2" t="str">
        <f aca="false">IF(L330&gt;=15,"Critical",IF(L330&gt;=9,"High",IF(L330&gt;=4,"Medium","Low")))</f>
        <v>Low</v>
      </c>
      <c r="N330" s="2"/>
      <c r="O330" s="2"/>
      <c r="P330" s="2"/>
      <c r="Q330" s="2"/>
      <c r="R330" s="2" t="n">
        <f aca="false">P330*Q330</f>
        <v>0</v>
      </c>
      <c r="S330" s="2" t="str">
        <f aca="false">IF(R330&gt;=15,"Critical",IF(R330&gt;=9,"High",IF(R330&gt;=4,"Medium","Low")))</f>
        <v>Low</v>
      </c>
      <c r="T330" s="2"/>
      <c r="U330" s="2"/>
      <c r="V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 t="n">
        <f aca="false">J331*K331</f>
        <v>0</v>
      </c>
      <c r="M331" s="2" t="str">
        <f aca="false">IF(L331&gt;=15,"Critical",IF(L331&gt;=9,"High",IF(L331&gt;=4,"Medium","Low")))</f>
        <v>Low</v>
      </c>
      <c r="N331" s="2"/>
      <c r="O331" s="2"/>
      <c r="P331" s="2"/>
      <c r="Q331" s="2"/>
      <c r="R331" s="2" t="n">
        <f aca="false">P331*Q331</f>
        <v>0</v>
      </c>
      <c r="S331" s="2" t="str">
        <f aca="false">IF(R331&gt;=15,"Critical",IF(R331&gt;=9,"High",IF(R331&gt;=4,"Medium","Low")))</f>
        <v>Low</v>
      </c>
      <c r="T331" s="2"/>
      <c r="U331" s="2"/>
      <c r="V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 t="n">
        <f aca="false">J332*K332</f>
        <v>0</v>
      </c>
      <c r="M332" s="2" t="str">
        <f aca="false">IF(L332&gt;=15,"Critical",IF(L332&gt;=9,"High",IF(L332&gt;=4,"Medium","Low")))</f>
        <v>Low</v>
      </c>
      <c r="N332" s="2"/>
      <c r="O332" s="2"/>
      <c r="P332" s="2"/>
      <c r="Q332" s="2"/>
      <c r="R332" s="2" t="n">
        <f aca="false">P332*Q332</f>
        <v>0</v>
      </c>
      <c r="S332" s="2" t="str">
        <f aca="false">IF(R332&gt;=15,"Critical",IF(R332&gt;=9,"High",IF(R332&gt;=4,"Medium","Low")))</f>
        <v>Low</v>
      </c>
      <c r="T332" s="2"/>
      <c r="U332" s="2"/>
      <c r="V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 t="n">
        <f aca="false">J333*K333</f>
        <v>0</v>
      </c>
      <c r="M333" s="2" t="str">
        <f aca="false">IF(L333&gt;=15,"Critical",IF(L333&gt;=9,"High",IF(L333&gt;=4,"Medium","Low")))</f>
        <v>Low</v>
      </c>
      <c r="N333" s="2"/>
      <c r="O333" s="2"/>
      <c r="P333" s="2"/>
      <c r="Q333" s="2"/>
      <c r="R333" s="2" t="n">
        <f aca="false">P333*Q333</f>
        <v>0</v>
      </c>
      <c r="S333" s="2" t="str">
        <f aca="false">IF(R333&gt;=15,"Critical",IF(R333&gt;=9,"High",IF(R333&gt;=4,"Medium","Low")))</f>
        <v>Low</v>
      </c>
      <c r="T333" s="2"/>
      <c r="U333" s="2"/>
      <c r="V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 t="n">
        <f aca="false">J334*K334</f>
        <v>0</v>
      </c>
      <c r="M334" s="2" t="str">
        <f aca="false">IF(L334&gt;=15,"Critical",IF(L334&gt;=9,"High",IF(L334&gt;=4,"Medium","Low")))</f>
        <v>Low</v>
      </c>
      <c r="N334" s="2"/>
      <c r="O334" s="2"/>
      <c r="P334" s="2"/>
      <c r="Q334" s="2"/>
      <c r="R334" s="2" t="n">
        <f aca="false">P334*Q334</f>
        <v>0</v>
      </c>
      <c r="S334" s="2" t="str">
        <f aca="false">IF(R334&gt;=15,"Critical",IF(R334&gt;=9,"High",IF(R334&gt;=4,"Medium","Low")))</f>
        <v>Low</v>
      </c>
      <c r="T334" s="2"/>
      <c r="U334" s="2"/>
      <c r="V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 t="n">
        <f aca="false">J335*K335</f>
        <v>0</v>
      </c>
      <c r="M335" s="2" t="str">
        <f aca="false">IF(L335&gt;=15,"Critical",IF(L335&gt;=9,"High",IF(L335&gt;=4,"Medium","Low")))</f>
        <v>Low</v>
      </c>
      <c r="N335" s="2"/>
      <c r="O335" s="2"/>
      <c r="P335" s="2"/>
      <c r="Q335" s="2"/>
      <c r="R335" s="2" t="n">
        <f aca="false">P335*Q335</f>
        <v>0</v>
      </c>
      <c r="S335" s="2" t="str">
        <f aca="false">IF(R335&gt;=15,"Critical",IF(R335&gt;=9,"High",IF(R335&gt;=4,"Medium","Low")))</f>
        <v>Low</v>
      </c>
      <c r="T335" s="2"/>
      <c r="U335" s="2"/>
      <c r="V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 t="n">
        <f aca="false">J336*K336</f>
        <v>0</v>
      </c>
      <c r="M336" s="2" t="str">
        <f aca="false">IF(L336&gt;=15,"Critical",IF(L336&gt;=9,"High",IF(L336&gt;=4,"Medium","Low")))</f>
        <v>Low</v>
      </c>
      <c r="N336" s="2"/>
      <c r="O336" s="2"/>
      <c r="P336" s="2"/>
      <c r="Q336" s="2"/>
      <c r="R336" s="2" t="n">
        <f aca="false">P336*Q336</f>
        <v>0</v>
      </c>
      <c r="S336" s="2" t="str">
        <f aca="false">IF(R336&gt;=15,"Critical",IF(R336&gt;=9,"High",IF(R336&gt;=4,"Medium","Low")))</f>
        <v>Low</v>
      </c>
      <c r="T336" s="2"/>
      <c r="U336" s="2"/>
      <c r="V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 t="n">
        <f aca="false">J337*K337</f>
        <v>0</v>
      </c>
      <c r="M337" s="2" t="str">
        <f aca="false">IF(L337&gt;=15,"Critical",IF(L337&gt;=9,"High",IF(L337&gt;=4,"Medium","Low")))</f>
        <v>Low</v>
      </c>
      <c r="N337" s="2"/>
      <c r="O337" s="2"/>
      <c r="P337" s="2"/>
      <c r="Q337" s="2"/>
      <c r="R337" s="2" t="n">
        <f aca="false">P337*Q337</f>
        <v>0</v>
      </c>
      <c r="S337" s="2" t="str">
        <f aca="false">IF(R337&gt;=15,"Critical",IF(R337&gt;=9,"High",IF(R337&gt;=4,"Medium","Low")))</f>
        <v>Low</v>
      </c>
      <c r="T337" s="2"/>
      <c r="U337" s="2"/>
      <c r="V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 t="n">
        <f aca="false">J338*K338</f>
        <v>0</v>
      </c>
      <c r="M338" s="2" t="str">
        <f aca="false">IF(L338&gt;=15,"Critical",IF(L338&gt;=9,"High",IF(L338&gt;=4,"Medium","Low")))</f>
        <v>Low</v>
      </c>
      <c r="N338" s="2"/>
      <c r="O338" s="2"/>
      <c r="P338" s="2"/>
      <c r="Q338" s="2"/>
      <c r="R338" s="2" t="n">
        <f aca="false">P338*Q338</f>
        <v>0</v>
      </c>
      <c r="S338" s="2" t="str">
        <f aca="false">IF(R338&gt;=15,"Critical",IF(R338&gt;=9,"High",IF(R338&gt;=4,"Medium","Low")))</f>
        <v>Low</v>
      </c>
      <c r="T338" s="2"/>
      <c r="U338" s="2"/>
      <c r="V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 t="n">
        <f aca="false">J339*K339</f>
        <v>0</v>
      </c>
      <c r="M339" s="2" t="str">
        <f aca="false">IF(L339&gt;=15,"Critical",IF(L339&gt;=9,"High",IF(L339&gt;=4,"Medium","Low")))</f>
        <v>Low</v>
      </c>
      <c r="N339" s="2"/>
      <c r="O339" s="2"/>
      <c r="P339" s="2"/>
      <c r="Q339" s="2"/>
      <c r="R339" s="2" t="n">
        <f aca="false">P339*Q339</f>
        <v>0</v>
      </c>
      <c r="S339" s="2" t="str">
        <f aca="false">IF(R339&gt;=15,"Critical",IF(R339&gt;=9,"High",IF(R339&gt;=4,"Medium","Low")))</f>
        <v>Low</v>
      </c>
      <c r="T339" s="2"/>
      <c r="U339" s="2"/>
      <c r="V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 t="n">
        <f aca="false">J340*K340</f>
        <v>0</v>
      </c>
      <c r="M340" s="2" t="str">
        <f aca="false">IF(L340&gt;=15,"Critical",IF(L340&gt;=9,"High",IF(L340&gt;=4,"Medium","Low")))</f>
        <v>Low</v>
      </c>
      <c r="N340" s="2"/>
      <c r="O340" s="2"/>
      <c r="P340" s="2"/>
      <c r="Q340" s="2"/>
      <c r="R340" s="2" t="n">
        <f aca="false">P340*Q340</f>
        <v>0</v>
      </c>
      <c r="S340" s="2" t="str">
        <f aca="false">IF(R340&gt;=15,"Critical",IF(R340&gt;=9,"High",IF(R340&gt;=4,"Medium","Low")))</f>
        <v>Low</v>
      </c>
      <c r="T340" s="2"/>
      <c r="U340" s="2"/>
      <c r="V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 t="n">
        <f aca="false">J341*K341</f>
        <v>0</v>
      </c>
      <c r="M341" s="2" t="str">
        <f aca="false">IF(L341&gt;=15,"Critical",IF(L341&gt;=9,"High",IF(L341&gt;=4,"Medium","Low")))</f>
        <v>Low</v>
      </c>
      <c r="N341" s="2"/>
      <c r="O341" s="2"/>
      <c r="P341" s="2"/>
      <c r="Q341" s="2"/>
      <c r="R341" s="2" t="n">
        <f aca="false">P341*Q341</f>
        <v>0</v>
      </c>
      <c r="S341" s="2" t="str">
        <f aca="false">IF(R341&gt;=15,"Critical",IF(R341&gt;=9,"High",IF(R341&gt;=4,"Medium","Low")))</f>
        <v>Low</v>
      </c>
      <c r="T341" s="2"/>
      <c r="U341" s="2"/>
      <c r="V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 t="n">
        <f aca="false">J342*K342</f>
        <v>0</v>
      </c>
      <c r="M342" s="2" t="str">
        <f aca="false">IF(L342&gt;=15,"Critical",IF(L342&gt;=9,"High",IF(L342&gt;=4,"Medium","Low")))</f>
        <v>Low</v>
      </c>
      <c r="N342" s="2"/>
      <c r="O342" s="2"/>
      <c r="P342" s="2"/>
      <c r="Q342" s="2"/>
      <c r="R342" s="2" t="n">
        <f aca="false">P342*Q342</f>
        <v>0</v>
      </c>
      <c r="S342" s="2" t="str">
        <f aca="false">IF(R342&gt;=15,"Critical",IF(R342&gt;=9,"High",IF(R342&gt;=4,"Medium","Low")))</f>
        <v>Low</v>
      </c>
      <c r="T342" s="2"/>
      <c r="U342" s="2"/>
      <c r="V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 t="n">
        <f aca="false">J343*K343</f>
        <v>0</v>
      </c>
      <c r="M343" s="2" t="str">
        <f aca="false">IF(L343&gt;=15,"Critical",IF(L343&gt;=9,"High",IF(L343&gt;=4,"Medium","Low")))</f>
        <v>Low</v>
      </c>
      <c r="N343" s="2"/>
      <c r="O343" s="2"/>
      <c r="P343" s="2"/>
      <c r="Q343" s="2"/>
      <c r="R343" s="2" t="n">
        <f aca="false">P343*Q343</f>
        <v>0</v>
      </c>
      <c r="S343" s="2" t="str">
        <f aca="false">IF(R343&gt;=15,"Critical",IF(R343&gt;=9,"High",IF(R343&gt;=4,"Medium","Low")))</f>
        <v>Low</v>
      </c>
      <c r="T343" s="2"/>
      <c r="U343" s="2"/>
      <c r="V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 t="n">
        <f aca="false">J344*K344</f>
        <v>0</v>
      </c>
      <c r="M344" s="2" t="str">
        <f aca="false">IF(L344&gt;=15,"Critical",IF(L344&gt;=9,"High",IF(L344&gt;=4,"Medium","Low")))</f>
        <v>Low</v>
      </c>
      <c r="N344" s="2"/>
      <c r="O344" s="2"/>
      <c r="P344" s="2"/>
      <c r="Q344" s="2"/>
      <c r="R344" s="2" t="n">
        <f aca="false">P344*Q344</f>
        <v>0</v>
      </c>
      <c r="S344" s="2" t="str">
        <f aca="false">IF(R344&gt;=15,"Critical",IF(R344&gt;=9,"High",IF(R344&gt;=4,"Medium","Low")))</f>
        <v>Low</v>
      </c>
      <c r="T344" s="2"/>
      <c r="U344" s="2"/>
      <c r="V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 t="n">
        <f aca="false">J345*K345</f>
        <v>0</v>
      </c>
      <c r="M345" s="2" t="str">
        <f aca="false">IF(L345&gt;=15,"Critical",IF(L345&gt;=9,"High",IF(L345&gt;=4,"Medium","Low")))</f>
        <v>Low</v>
      </c>
      <c r="N345" s="2"/>
      <c r="O345" s="2"/>
      <c r="P345" s="2"/>
      <c r="Q345" s="2"/>
      <c r="R345" s="2" t="n">
        <f aca="false">P345*Q345</f>
        <v>0</v>
      </c>
      <c r="S345" s="2" t="str">
        <f aca="false">IF(R345&gt;=15,"Critical",IF(R345&gt;=9,"High",IF(R345&gt;=4,"Medium","Low")))</f>
        <v>Low</v>
      </c>
      <c r="T345" s="2"/>
      <c r="U345" s="2"/>
      <c r="V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 t="n">
        <f aca="false">J346*K346</f>
        <v>0</v>
      </c>
      <c r="M346" s="2" t="str">
        <f aca="false">IF(L346&gt;=15,"Critical",IF(L346&gt;=9,"High",IF(L346&gt;=4,"Medium","Low")))</f>
        <v>Low</v>
      </c>
      <c r="N346" s="2"/>
      <c r="O346" s="2"/>
      <c r="P346" s="2"/>
      <c r="Q346" s="2"/>
      <c r="R346" s="2" t="n">
        <f aca="false">P346*Q346</f>
        <v>0</v>
      </c>
      <c r="S346" s="2" t="str">
        <f aca="false">IF(R346&gt;=15,"Critical",IF(R346&gt;=9,"High",IF(R346&gt;=4,"Medium","Low")))</f>
        <v>Low</v>
      </c>
      <c r="T346" s="2"/>
      <c r="U346" s="2"/>
      <c r="V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 t="n">
        <f aca="false">J347*K347</f>
        <v>0</v>
      </c>
      <c r="M347" s="2" t="str">
        <f aca="false">IF(L347&gt;=15,"Critical",IF(L347&gt;=9,"High",IF(L347&gt;=4,"Medium","Low")))</f>
        <v>Low</v>
      </c>
      <c r="N347" s="2"/>
      <c r="O347" s="2"/>
      <c r="P347" s="2"/>
      <c r="Q347" s="2"/>
      <c r="R347" s="2" t="n">
        <f aca="false">P347*Q347</f>
        <v>0</v>
      </c>
      <c r="S347" s="2" t="str">
        <f aca="false">IF(R347&gt;=15,"Critical",IF(R347&gt;=9,"High",IF(R347&gt;=4,"Medium","Low")))</f>
        <v>Low</v>
      </c>
      <c r="T347" s="2"/>
      <c r="U347" s="2"/>
      <c r="V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 t="n">
        <f aca="false">J348*K348</f>
        <v>0</v>
      </c>
      <c r="M348" s="2" t="str">
        <f aca="false">IF(L348&gt;=15,"Critical",IF(L348&gt;=9,"High",IF(L348&gt;=4,"Medium","Low")))</f>
        <v>Low</v>
      </c>
      <c r="N348" s="2"/>
      <c r="O348" s="2"/>
      <c r="P348" s="2"/>
      <c r="Q348" s="2"/>
      <c r="R348" s="2" t="n">
        <f aca="false">P348*Q348</f>
        <v>0</v>
      </c>
      <c r="S348" s="2" t="str">
        <f aca="false">IF(R348&gt;=15,"Critical",IF(R348&gt;=9,"High",IF(R348&gt;=4,"Medium","Low")))</f>
        <v>Low</v>
      </c>
      <c r="T348" s="2"/>
      <c r="U348" s="2"/>
      <c r="V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 t="n">
        <f aca="false">J349*K349</f>
        <v>0</v>
      </c>
      <c r="M349" s="2" t="str">
        <f aca="false">IF(L349&gt;=15,"Critical",IF(L349&gt;=9,"High",IF(L349&gt;=4,"Medium","Low")))</f>
        <v>Low</v>
      </c>
      <c r="N349" s="2"/>
      <c r="O349" s="2"/>
      <c r="P349" s="2"/>
      <c r="Q349" s="2"/>
      <c r="R349" s="2" t="n">
        <f aca="false">P349*Q349</f>
        <v>0</v>
      </c>
      <c r="S349" s="2" t="str">
        <f aca="false">IF(R349&gt;=15,"Critical",IF(R349&gt;=9,"High",IF(R349&gt;=4,"Medium","Low")))</f>
        <v>Low</v>
      </c>
      <c r="T349" s="2"/>
      <c r="U349" s="2"/>
      <c r="V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 t="n">
        <f aca="false">J350*K350</f>
        <v>0</v>
      </c>
      <c r="M350" s="2" t="str">
        <f aca="false">IF(L350&gt;=15,"Critical",IF(L350&gt;=9,"High",IF(L350&gt;=4,"Medium","Low")))</f>
        <v>Low</v>
      </c>
      <c r="N350" s="2"/>
      <c r="O350" s="2"/>
      <c r="P350" s="2"/>
      <c r="Q350" s="2"/>
      <c r="R350" s="2" t="n">
        <f aca="false">P350*Q350</f>
        <v>0</v>
      </c>
      <c r="S350" s="2" t="str">
        <f aca="false">IF(R350&gt;=15,"Critical",IF(R350&gt;=9,"High",IF(R350&gt;=4,"Medium","Low")))</f>
        <v>Low</v>
      </c>
      <c r="T350" s="2"/>
      <c r="U350" s="2"/>
      <c r="V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 t="n">
        <f aca="false">J351*K351</f>
        <v>0</v>
      </c>
      <c r="M351" s="2" t="str">
        <f aca="false">IF(L351&gt;=15,"Critical",IF(L351&gt;=9,"High",IF(L351&gt;=4,"Medium","Low")))</f>
        <v>Low</v>
      </c>
      <c r="N351" s="2"/>
      <c r="O351" s="2"/>
      <c r="P351" s="2"/>
      <c r="Q351" s="2"/>
      <c r="R351" s="2" t="n">
        <f aca="false">P351*Q351</f>
        <v>0</v>
      </c>
      <c r="S351" s="2" t="str">
        <f aca="false">IF(R351&gt;=15,"Critical",IF(R351&gt;=9,"High",IF(R351&gt;=4,"Medium","Low")))</f>
        <v>Low</v>
      </c>
      <c r="T351" s="2"/>
      <c r="U351" s="2"/>
      <c r="V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 t="n">
        <f aca="false">J352*K352</f>
        <v>0</v>
      </c>
      <c r="M352" s="2" t="str">
        <f aca="false">IF(L352&gt;=15,"Critical",IF(L352&gt;=9,"High",IF(L352&gt;=4,"Medium","Low")))</f>
        <v>Low</v>
      </c>
      <c r="N352" s="2"/>
      <c r="O352" s="2"/>
      <c r="P352" s="2"/>
      <c r="Q352" s="2"/>
      <c r="R352" s="2" t="n">
        <f aca="false">P352*Q352</f>
        <v>0</v>
      </c>
      <c r="S352" s="2" t="str">
        <f aca="false">IF(R352&gt;=15,"Critical",IF(R352&gt;=9,"High",IF(R352&gt;=4,"Medium","Low")))</f>
        <v>Low</v>
      </c>
      <c r="T352" s="2"/>
      <c r="U352" s="2"/>
      <c r="V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 t="n">
        <f aca="false">J353*K353</f>
        <v>0</v>
      </c>
      <c r="M353" s="2" t="str">
        <f aca="false">IF(L353&gt;=15,"Critical",IF(L353&gt;=9,"High",IF(L353&gt;=4,"Medium","Low")))</f>
        <v>Low</v>
      </c>
      <c r="N353" s="2"/>
      <c r="O353" s="2"/>
      <c r="P353" s="2"/>
      <c r="Q353" s="2"/>
      <c r="R353" s="2" t="n">
        <f aca="false">P353*Q353</f>
        <v>0</v>
      </c>
      <c r="S353" s="2" t="str">
        <f aca="false">IF(R353&gt;=15,"Critical",IF(R353&gt;=9,"High",IF(R353&gt;=4,"Medium","Low")))</f>
        <v>Low</v>
      </c>
      <c r="T353" s="2"/>
      <c r="U353" s="2"/>
      <c r="V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 t="n">
        <f aca="false">J354*K354</f>
        <v>0</v>
      </c>
      <c r="M354" s="2" t="str">
        <f aca="false">IF(L354&gt;=15,"Critical",IF(L354&gt;=9,"High",IF(L354&gt;=4,"Medium","Low")))</f>
        <v>Low</v>
      </c>
      <c r="N354" s="2"/>
      <c r="O354" s="2"/>
      <c r="P354" s="2"/>
      <c r="Q354" s="2"/>
      <c r="R354" s="2" t="n">
        <f aca="false">P354*Q354</f>
        <v>0</v>
      </c>
      <c r="S354" s="2" t="str">
        <f aca="false">IF(R354&gt;=15,"Critical",IF(R354&gt;=9,"High",IF(R354&gt;=4,"Medium","Low")))</f>
        <v>Low</v>
      </c>
      <c r="T354" s="2"/>
      <c r="U354" s="2"/>
      <c r="V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 t="n">
        <f aca="false">J355*K355</f>
        <v>0</v>
      </c>
      <c r="M355" s="2" t="str">
        <f aca="false">IF(L355&gt;=15,"Critical",IF(L355&gt;=9,"High",IF(L355&gt;=4,"Medium","Low")))</f>
        <v>Low</v>
      </c>
      <c r="N355" s="2"/>
      <c r="O355" s="2"/>
      <c r="P355" s="2"/>
      <c r="Q355" s="2"/>
      <c r="R355" s="2" t="n">
        <f aca="false">P355*Q355</f>
        <v>0</v>
      </c>
      <c r="S355" s="2" t="str">
        <f aca="false">IF(R355&gt;=15,"Critical",IF(R355&gt;=9,"High",IF(R355&gt;=4,"Medium","Low")))</f>
        <v>Low</v>
      </c>
      <c r="T355" s="2"/>
      <c r="U355" s="2"/>
      <c r="V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 t="n">
        <f aca="false">J356*K356</f>
        <v>0</v>
      </c>
      <c r="M356" s="2" t="str">
        <f aca="false">IF(L356&gt;=15,"Critical",IF(L356&gt;=9,"High",IF(L356&gt;=4,"Medium","Low")))</f>
        <v>Low</v>
      </c>
      <c r="N356" s="2"/>
      <c r="O356" s="2"/>
      <c r="P356" s="2"/>
      <c r="Q356" s="2"/>
      <c r="R356" s="2" t="n">
        <f aca="false">P356*Q356</f>
        <v>0</v>
      </c>
      <c r="S356" s="2" t="str">
        <f aca="false">IF(R356&gt;=15,"Critical",IF(R356&gt;=9,"High",IF(R356&gt;=4,"Medium","Low")))</f>
        <v>Low</v>
      </c>
      <c r="T356" s="2"/>
      <c r="U356" s="2"/>
      <c r="V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 t="n">
        <f aca="false">J357*K357</f>
        <v>0</v>
      </c>
      <c r="M357" s="2" t="str">
        <f aca="false">IF(L357&gt;=15,"Critical",IF(L357&gt;=9,"High",IF(L357&gt;=4,"Medium","Low")))</f>
        <v>Low</v>
      </c>
      <c r="N357" s="2"/>
      <c r="O357" s="2"/>
      <c r="P357" s="2"/>
      <c r="Q357" s="2"/>
      <c r="R357" s="2" t="n">
        <f aca="false">P357*Q357</f>
        <v>0</v>
      </c>
      <c r="S357" s="2" t="str">
        <f aca="false">IF(R357&gt;=15,"Critical",IF(R357&gt;=9,"High",IF(R357&gt;=4,"Medium","Low")))</f>
        <v>Low</v>
      </c>
      <c r="T357" s="2"/>
      <c r="U357" s="2"/>
      <c r="V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 t="n">
        <f aca="false">J358*K358</f>
        <v>0</v>
      </c>
      <c r="M358" s="2" t="str">
        <f aca="false">IF(L358&gt;=15,"Critical",IF(L358&gt;=9,"High",IF(L358&gt;=4,"Medium","Low")))</f>
        <v>Low</v>
      </c>
      <c r="N358" s="2"/>
      <c r="O358" s="2"/>
      <c r="P358" s="2"/>
      <c r="Q358" s="2"/>
      <c r="R358" s="2" t="n">
        <f aca="false">P358*Q358</f>
        <v>0</v>
      </c>
      <c r="S358" s="2" t="str">
        <f aca="false">IF(R358&gt;=15,"Critical",IF(R358&gt;=9,"High",IF(R358&gt;=4,"Medium","Low")))</f>
        <v>Low</v>
      </c>
      <c r="T358" s="2"/>
      <c r="U358" s="2"/>
      <c r="V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 t="n">
        <f aca="false">J359*K359</f>
        <v>0</v>
      </c>
      <c r="M359" s="2" t="str">
        <f aca="false">IF(L359&gt;=15,"Critical",IF(L359&gt;=9,"High",IF(L359&gt;=4,"Medium","Low")))</f>
        <v>Low</v>
      </c>
      <c r="N359" s="2"/>
      <c r="O359" s="2"/>
      <c r="P359" s="2"/>
      <c r="Q359" s="2"/>
      <c r="R359" s="2" t="n">
        <f aca="false">P359*Q359</f>
        <v>0</v>
      </c>
      <c r="S359" s="2" t="str">
        <f aca="false">IF(R359&gt;=15,"Critical",IF(R359&gt;=9,"High",IF(R359&gt;=4,"Medium","Low")))</f>
        <v>Low</v>
      </c>
      <c r="T359" s="2"/>
      <c r="U359" s="2"/>
      <c r="V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 t="n">
        <f aca="false">J360*K360</f>
        <v>0</v>
      </c>
      <c r="M360" s="2" t="str">
        <f aca="false">IF(L360&gt;=15,"Critical",IF(L360&gt;=9,"High",IF(L360&gt;=4,"Medium","Low")))</f>
        <v>Low</v>
      </c>
      <c r="N360" s="2"/>
      <c r="O360" s="2"/>
      <c r="P360" s="2"/>
      <c r="Q360" s="2"/>
      <c r="R360" s="2" t="n">
        <f aca="false">P360*Q360</f>
        <v>0</v>
      </c>
      <c r="S360" s="2" t="str">
        <f aca="false">IF(R360&gt;=15,"Critical",IF(R360&gt;=9,"High",IF(R360&gt;=4,"Medium","Low")))</f>
        <v>Low</v>
      </c>
      <c r="T360" s="2"/>
      <c r="U360" s="2"/>
      <c r="V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 t="n">
        <f aca="false">J361*K361</f>
        <v>0</v>
      </c>
      <c r="M361" s="2" t="str">
        <f aca="false">IF(L361&gt;=15,"Critical",IF(L361&gt;=9,"High",IF(L361&gt;=4,"Medium","Low")))</f>
        <v>Low</v>
      </c>
      <c r="N361" s="2"/>
      <c r="O361" s="2"/>
      <c r="P361" s="2"/>
      <c r="Q361" s="2"/>
      <c r="R361" s="2" t="n">
        <f aca="false">P361*Q361</f>
        <v>0</v>
      </c>
      <c r="S361" s="2" t="str">
        <f aca="false">IF(R361&gt;=15,"Critical",IF(R361&gt;=9,"High",IF(R361&gt;=4,"Medium","Low")))</f>
        <v>Low</v>
      </c>
      <c r="T361" s="2"/>
      <c r="U361" s="2"/>
      <c r="V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 t="n">
        <f aca="false">J362*K362</f>
        <v>0</v>
      </c>
      <c r="M362" s="2" t="str">
        <f aca="false">IF(L362&gt;=15,"Critical",IF(L362&gt;=9,"High",IF(L362&gt;=4,"Medium","Low")))</f>
        <v>Low</v>
      </c>
      <c r="N362" s="2"/>
      <c r="O362" s="2"/>
      <c r="P362" s="2"/>
      <c r="Q362" s="2"/>
      <c r="R362" s="2" t="n">
        <f aca="false">P362*Q362</f>
        <v>0</v>
      </c>
      <c r="S362" s="2" t="str">
        <f aca="false">IF(R362&gt;=15,"Critical",IF(R362&gt;=9,"High",IF(R362&gt;=4,"Medium","Low")))</f>
        <v>Low</v>
      </c>
      <c r="T362" s="2"/>
      <c r="U362" s="2"/>
      <c r="V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 t="n">
        <f aca="false">J363*K363</f>
        <v>0</v>
      </c>
      <c r="M363" s="2" t="str">
        <f aca="false">IF(L363&gt;=15,"Critical",IF(L363&gt;=9,"High",IF(L363&gt;=4,"Medium","Low")))</f>
        <v>Low</v>
      </c>
      <c r="N363" s="2"/>
      <c r="O363" s="2"/>
      <c r="P363" s="2"/>
      <c r="Q363" s="2"/>
      <c r="R363" s="2" t="n">
        <f aca="false">P363*Q363</f>
        <v>0</v>
      </c>
      <c r="S363" s="2" t="str">
        <f aca="false">IF(R363&gt;=15,"Critical",IF(R363&gt;=9,"High",IF(R363&gt;=4,"Medium","Low")))</f>
        <v>Low</v>
      </c>
      <c r="T363" s="2"/>
      <c r="U363" s="2"/>
      <c r="V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 t="n">
        <f aca="false">J364*K364</f>
        <v>0</v>
      </c>
      <c r="M364" s="2" t="str">
        <f aca="false">IF(L364&gt;=15,"Critical",IF(L364&gt;=9,"High",IF(L364&gt;=4,"Medium","Low")))</f>
        <v>Low</v>
      </c>
      <c r="N364" s="2"/>
      <c r="O364" s="2"/>
      <c r="P364" s="2"/>
      <c r="Q364" s="2"/>
      <c r="R364" s="2" t="n">
        <f aca="false">P364*Q364</f>
        <v>0</v>
      </c>
      <c r="S364" s="2" t="str">
        <f aca="false">IF(R364&gt;=15,"Critical",IF(R364&gt;=9,"High",IF(R364&gt;=4,"Medium","Low")))</f>
        <v>Low</v>
      </c>
      <c r="T364" s="2"/>
      <c r="U364" s="2"/>
      <c r="V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 t="n">
        <f aca="false">J365*K365</f>
        <v>0</v>
      </c>
      <c r="M365" s="2" t="str">
        <f aca="false">IF(L365&gt;=15,"Critical",IF(L365&gt;=9,"High",IF(L365&gt;=4,"Medium","Low")))</f>
        <v>Low</v>
      </c>
      <c r="N365" s="2"/>
      <c r="O365" s="2"/>
      <c r="P365" s="2"/>
      <c r="Q365" s="2"/>
      <c r="R365" s="2" t="n">
        <f aca="false">P365*Q365</f>
        <v>0</v>
      </c>
      <c r="S365" s="2" t="str">
        <f aca="false">IF(R365&gt;=15,"Critical",IF(R365&gt;=9,"High",IF(R365&gt;=4,"Medium","Low")))</f>
        <v>Low</v>
      </c>
      <c r="T365" s="2"/>
      <c r="U365" s="2"/>
      <c r="V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 t="n">
        <f aca="false">J366*K366</f>
        <v>0</v>
      </c>
      <c r="M366" s="2" t="str">
        <f aca="false">IF(L366&gt;=15,"Critical",IF(L366&gt;=9,"High",IF(L366&gt;=4,"Medium","Low")))</f>
        <v>Low</v>
      </c>
      <c r="N366" s="2"/>
      <c r="O366" s="2"/>
      <c r="P366" s="2"/>
      <c r="Q366" s="2"/>
      <c r="R366" s="2" t="n">
        <f aca="false">P366*Q366</f>
        <v>0</v>
      </c>
      <c r="S366" s="2" t="str">
        <f aca="false">IF(R366&gt;=15,"Critical",IF(R366&gt;=9,"High",IF(R366&gt;=4,"Medium","Low")))</f>
        <v>Low</v>
      </c>
      <c r="T366" s="2"/>
      <c r="U366" s="2"/>
      <c r="V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 t="n">
        <f aca="false">J367*K367</f>
        <v>0</v>
      </c>
      <c r="M367" s="2" t="str">
        <f aca="false">IF(L367&gt;=15,"Critical",IF(L367&gt;=9,"High",IF(L367&gt;=4,"Medium","Low")))</f>
        <v>Low</v>
      </c>
      <c r="N367" s="2"/>
      <c r="O367" s="2"/>
      <c r="P367" s="2"/>
      <c r="Q367" s="2"/>
      <c r="R367" s="2" t="n">
        <f aca="false">P367*Q367</f>
        <v>0</v>
      </c>
      <c r="S367" s="2" t="str">
        <f aca="false">IF(R367&gt;=15,"Critical",IF(R367&gt;=9,"High",IF(R367&gt;=4,"Medium","Low")))</f>
        <v>Low</v>
      </c>
      <c r="T367" s="2"/>
      <c r="U367" s="2"/>
      <c r="V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 t="n">
        <f aca="false">J368*K368</f>
        <v>0</v>
      </c>
      <c r="M368" s="2" t="str">
        <f aca="false">IF(L368&gt;=15,"Critical",IF(L368&gt;=9,"High",IF(L368&gt;=4,"Medium","Low")))</f>
        <v>Low</v>
      </c>
      <c r="N368" s="2"/>
      <c r="O368" s="2"/>
      <c r="P368" s="2"/>
      <c r="Q368" s="2"/>
      <c r="R368" s="2" t="n">
        <f aca="false">P368*Q368</f>
        <v>0</v>
      </c>
      <c r="S368" s="2" t="str">
        <f aca="false">IF(R368&gt;=15,"Critical",IF(R368&gt;=9,"High",IF(R368&gt;=4,"Medium","Low")))</f>
        <v>Low</v>
      </c>
      <c r="T368" s="2"/>
      <c r="U368" s="2"/>
      <c r="V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 t="n">
        <f aca="false">J369*K369</f>
        <v>0</v>
      </c>
      <c r="M369" s="2" t="str">
        <f aca="false">IF(L369&gt;=15,"Critical",IF(L369&gt;=9,"High",IF(L369&gt;=4,"Medium","Low")))</f>
        <v>Low</v>
      </c>
      <c r="N369" s="2"/>
      <c r="O369" s="2"/>
      <c r="P369" s="2"/>
      <c r="Q369" s="2"/>
      <c r="R369" s="2" t="n">
        <f aca="false">P369*Q369</f>
        <v>0</v>
      </c>
      <c r="S369" s="2" t="str">
        <f aca="false">IF(R369&gt;=15,"Critical",IF(R369&gt;=9,"High",IF(R369&gt;=4,"Medium","Low")))</f>
        <v>Low</v>
      </c>
      <c r="T369" s="2"/>
      <c r="U369" s="2"/>
      <c r="V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 t="n">
        <f aca="false">J370*K370</f>
        <v>0</v>
      </c>
      <c r="M370" s="2" t="str">
        <f aca="false">IF(L370&gt;=15,"Critical",IF(L370&gt;=9,"High",IF(L370&gt;=4,"Medium","Low")))</f>
        <v>Low</v>
      </c>
      <c r="N370" s="2"/>
      <c r="O370" s="2"/>
      <c r="P370" s="2"/>
      <c r="Q370" s="2"/>
      <c r="R370" s="2" t="n">
        <f aca="false">P370*Q370</f>
        <v>0</v>
      </c>
      <c r="S370" s="2" t="str">
        <f aca="false">IF(R370&gt;=15,"Critical",IF(R370&gt;=9,"High",IF(R370&gt;=4,"Medium","Low")))</f>
        <v>Low</v>
      </c>
      <c r="T370" s="2"/>
      <c r="U370" s="2"/>
      <c r="V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 t="n">
        <f aca="false">J371*K371</f>
        <v>0</v>
      </c>
      <c r="M371" s="2" t="str">
        <f aca="false">IF(L371&gt;=15,"Critical",IF(L371&gt;=9,"High",IF(L371&gt;=4,"Medium","Low")))</f>
        <v>Low</v>
      </c>
      <c r="N371" s="2"/>
      <c r="O371" s="2"/>
      <c r="P371" s="2"/>
      <c r="Q371" s="2"/>
      <c r="R371" s="2" t="n">
        <f aca="false">P371*Q371</f>
        <v>0</v>
      </c>
      <c r="S371" s="2" t="str">
        <f aca="false">IF(R371&gt;=15,"Critical",IF(R371&gt;=9,"High",IF(R371&gt;=4,"Medium","Low")))</f>
        <v>Low</v>
      </c>
      <c r="T371" s="2"/>
      <c r="U371" s="2"/>
      <c r="V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 t="n">
        <f aca="false">J372*K372</f>
        <v>0</v>
      </c>
      <c r="M372" s="2" t="str">
        <f aca="false">IF(L372&gt;=15,"Critical",IF(L372&gt;=9,"High",IF(L372&gt;=4,"Medium","Low")))</f>
        <v>Low</v>
      </c>
      <c r="N372" s="2"/>
      <c r="O372" s="2"/>
      <c r="P372" s="2"/>
      <c r="Q372" s="2"/>
      <c r="R372" s="2" t="n">
        <f aca="false">P372*Q372</f>
        <v>0</v>
      </c>
      <c r="S372" s="2" t="str">
        <f aca="false">IF(R372&gt;=15,"Critical",IF(R372&gt;=9,"High",IF(R372&gt;=4,"Medium","Low")))</f>
        <v>Low</v>
      </c>
      <c r="T372" s="2"/>
      <c r="U372" s="2"/>
      <c r="V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 t="n">
        <f aca="false">J373*K373</f>
        <v>0</v>
      </c>
      <c r="M373" s="2" t="str">
        <f aca="false">IF(L373&gt;=15,"Critical",IF(L373&gt;=9,"High",IF(L373&gt;=4,"Medium","Low")))</f>
        <v>Low</v>
      </c>
      <c r="N373" s="2"/>
      <c r="O373" s="2"/>
      <c r="P373" s="2"/>
      <c r="Q373" s="2"/>
      <c r="R373" s="2" t="n">
        <f aca="false">P373*Q373</f>
        <v>0</v>
      </c>
      <c r="S373" s="2" t="str">
        <f aca="false">IF(R373&gt;=15,"Critical",IF(R373&gt;=9,"High",IF(R373&gt;=4,"Medium","Low")))</f>
        <v>Low</v>
      </c>
      <c r="T373" s="2"/>
      <c r="U373" s="2"/>
      <c r="V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 t="n">
        <f aca="false">J374*K374</f>
        <v>0</v>
      </c>
      <c r="M374" s="2" t="str">
        <f aca="false">IF(L374&gt;=15,"Critical",IF(L374&gt;=9,"High",IF(L374&gt;=4,"Medium","Low")))</f>
        <v>Low</v>
      </c>
      <c r="N374" s="2"/>
      <c r="O374" s="2"/>
      <c r="P374" s="2"/>
      <c r="Q374" s="2"/>
      <c r="R374" s="2" t="n">
        <f aca="false">P374*Q374</f>
        <v>0</v>
      </c>
      <c r="S374" s="2" t="str">
        <f aca="false">IF(R374&gt;=15,"Critical",IF(R374&gt;=9,"High",IF(R374&gt;=4,"Medium","Low")))</f>
        <v>Low</v>
      </c>
      <c r="T374" s="2"/>
      <c r="U374" s="2"/>
      <c r="V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 t="n">
        <f aca="false">J375*K375</f>
        <v>0</v>
      </c>
      <c r="M375" s="2" t="str">
        <f aca="false">IF(L375&gt;=15,"Critical",IF(L375&gt;=9,"High",IF(L375&gt;=4,"Medium","Low")))</f>
        <v>Low</v>
      </c>
      <c r="N375" s="2"/>
      <c r="O375" s="2"/>
      <c r="P375" s="2"/>
      <c r="Q375" s="2"/>
      <c r="R375" s="2" t="n">
        <f aca="false">P375*Q375</f>
        <v>0</v>
      </c>
      <c r="S375" s="2" t="str">
        <f aca="false">IF(R375&gt;=15,"Critical",IF(R375&gt;=9,"High",IF(R375&gt;=4,"Medium","Low")))</f>
        <v>Low</v>
      </c>
      <c r="T375" s="2"/>
      <c r="U375" s="2"/>
      <c r="V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 t="n">
        <f aca="false">J376*K376</f>
        <v>0</v>
      </c>
      <c r="M376" s="2" t="str">
        <f aca="false">IF(L376&gt;=15,"Critical",IF(L376&gt;=9,"High",IF(L376&gt;=4,"Medium","Low")))</f>
        <v>Low</v>
      </c>
      <c r="N376" s="2"/>
      <c r="O376" s="2"/>
      <c r="P376" s="2"/>
      <c r="Q376" s="2"/>
      <c r="R376" s="2" t="n">
        <f aca="false">P376*Q376</f>
        <v>0</v>
      </c>
      <c r="S376" s="2" t="str">
        <f aca="false">IF(R376&gt;=15,"Critical",IF(R376&gt;=9,"High",IF(R376&gt;=4,"Medium","Low")))</f>
        <v>Low</v>
      </c>
      <c r="T376" s="2"/>
      <c r="U376" s="2"/>
      <c r="V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 t="n">
        <f aca="false">J377*K377</f>
        <v>0</v>
      </c>
      <c r="M377" s="2" t="str">
        <f aca="false">IF(L377&gt;=15,"Critical",IF(L377&gt;=9,"High",IF(L377&gt;=4,"Medium","Low")))</f>
        <v>Low</v>
      </c>
      <c r="N377" s="2"/>
      <c r="O377" s="2"/>
      <c r="P377" s="2"/>
      <c r="Q377" s="2"/>
      <c r="R377" s="2" t="n">
        <f aca="false">P377*Q377</f>
        <v>0</v>
      </c>
      <c r="S377" s="2" t="str">
        <f aca="false">IF(R377&gt;=15,"Critical",IF(R377&gt;=9,"High",IF(R377&gt;=4,"Medium","Low")))</f>
        <v>Low</v>
      </c>
      <c r="T377" s="2"/>
      <c r="U377" s="2"/>
      <c r="V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 t="n">
        <f aca="false">J378*K378</f>
        <v>0</v>
      </c>
      <c r="M378" s="2" t="str">
        <f aca="false">IF(L378&gt;=15,"Critical",IF(L378&gt;=9,"High",IF(L378&gt;=4,"Medium","Low")))</f>
        <v>Low</v>
      </c>
      <c r="N378" s="2"/>
      <c r="O378" s="2"/>
      <c r="P378" s="2"/>
      <c r="Q378" s="2"/>
      <c r="R378" s="2" t="n">
        <f aca="false">P378*Q378</f>
        <v>0</v>
      </c>
      <c r="S378" s="2" t="str">
        <f aca="false">IF(R378&gt;=15,"Critical",IF(R378&gt;=9,"High",IF(R378&gt;=4,"Medium","Low")))</f>
        <v>Low</v>
      </c>
      <c r="T378" s="2"/>
      <c r="U378" s="2"/>
      <c r="V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 t="n">
        <f aca="false">J379*K379</f>
        <v>0</v>
      </c>
      <c r="M379" s="2" t="str">
        <f aca="false">IF(L379&gt;=15,"Critical",IF(L379&gt;=9,"High",IF(L379&gt;=4,"Medium","Low")))</f>
        <v>Low</v>
      </c>
      <c r="N379" s="2"/>
      <c r="O379" s="2"/>
      <c r="P379" s="2"/>
      <c r="Q379" s="2"/>
      <c r="R379" s="2" t="n">
        <f aca="false">P379*Q379</f>
        <v>0</v>
      </c>
      <c r="S379" s="2" t="str">
        <f aca="false">IF(R379&gt;=15,"Critical",IF(R379&gt;=9,"High",IF(R379&gt;=4,"Medium","Low")))</f>
        <v>Low</v>
      </c>
      <c r="T379" s="2"/>
      <c r="U379" s="2"/>
      <c r="V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 t="n">
        <f aca="false">J380*K380</f>
        <v>0</v>
      </c>
      <c r="M380" s="2" t="str">
        <f aca="false">IF(L380&gt;=15,"Critical",IF(L380&gt;=9,"High",IF(L380&gt;=4,"Medium","Low")))</f>
        <v>Low</v>
      </c>
      <c r="N380" s="2"/>
      <c r="O380" s="2"/>
      <c r="P380" s="2"/>
      <c r="Q380" s="2"/>
      <c r="R380" s="2" t="n">
        <f aca="false">P380*Q380</f>
        <v>0</v>
      </c>
      <c r="S380" s="2" t="str">
        <f aca="false">IF(R380&gt;=15,"Critical",IF(R380&gt;=9,"High",IF(R380&gt;=4,"Medium","Low")))</f>
        <v>Low</v>
      </c>
      <c r="T380" s="2"/>
      <c r="U380" s="2"/>
      <c r="V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 t="n">
        <f aca="false">J381*K381</f>
        <v>0</v>
      </c>
      <c r="M381" s="2" t="str">
        <f aca="false">IF(L381&gt;=15,"Critical",IF(L381&gt;=9,"High",IF(L381&gt;=4,"Medium","Low")))</f>
        <v>Low</v>
      </c>
      <c r="N381" s="2"/>
      <c r="O381" s="2"/>
      <c r="P381" s="2"/>
      <c r="Q381" s="2"/>
      <c r="R381" s="2" t="n">
        <f aca="false">P381*Q381</f>
        <v>0</v>
      </c>
      <c r="S381" s="2" t="str">
        <f aca="false">IF(R381&gt;=15,"Critical",IF(R381&gt;=9,"High",IF(R381&gt;=4,"Medium","Low")))</f>
        <v>Low</v>
      </c>
      <c r="T381" s="2"/>
      <c r="U381" s="2"/>
      <c r="V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 t="n">
        <f aca="false">J382*K382</f>
        <v>0</v>
      </c>
      <c r="M382" s="2" t="str">
        <f aca="false">IF(L382&gt;=15,"Critical",IF(L382&gt;=9,"High",IF(L382&gt;=4,"Medium","Low")))</f>
        <v>Low</v>
      </c>
      <c r="N382" s="2"/>
      <c r="O382" s="2"/>
      <c r="P382" s="2"/>
      <c r="Q382" s="2"/>
      <c r="R382" s="2" t="n">
        <f aca="false">P382*Q382</f>
        <v>0</v>
      </c>
      <c r="S382" s="2" t="str">
        <f aca="false">IF(R382&gt;=15,"Critical",IF(R382&gt;=9,"High",IF(R382&gt;=4,"Medium","Low")))</f>
        <v>Low</v>
      </c>
      <c r="T382" s="2"/>
      <c r="U382" s="2"/>
      <c r="V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 t="n">
        <f aca="false">J383*K383</f>
        <v>0</v>
      </c>
      <c r="M383" s="2" t="str">
        <f aca="false">IF(L383&gt;=15,"Critical",IF(L383&gt;=9,"High",IF(L383&gt;=4,"Medium","Low")))</f>
        <v>Low</v>
      </c>
      <c r="N383" s="2"/>
      <c r="O383" s="2"/>
      <c r="P383" s="2"/>
      <c r="Q383" s="2"/>
      <c r="R383" s="2" t="n">
        <f aca="false">P383*Q383</f>
        <v>0</v>
      </c>
      <c r="S383" s="2" t="str">
        <f aca="false">IF(R383&gt;=15,"Critical",IF(R383&gt;=9,"High",IF(R383&gt;=4,"Medium","Low")))</f>
        <v>Low</v>
      </c>
      <c r="T383" s="2"/>
      <c r="U383" s="2"/>
      <c r="V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 t="n">
        <f aca="false">J384*K384</f>
        <v>0</v>
      </c>
      <c r="M384" s="2" t="str">
        <f aca="false">IF(L384&gt;=15,"Critical",IF(L384&gt;=9,"High",IF(L384&gt;=4,"Medium","Low")))</f>
        <v>Low</v>
      </c>
      <c r="N384" s="2"/>
      <c r="O384" s="2"/>
      <c r="P384" s="2"/>
      <c r="Q384" s="2"/>
      <c r="R384" s="2" t="n">
        <f aca="false">P384*Q384</f>
        <v>0</v>
      </c>
      <c r="S384" s="2" t="str">
        <f aca="false">IF(R384&gt;=15,"Critical",IF(R384&gt;=9,"High",IF(R384&gt;=4,"Medium","Low")))</f>
        <v>Low</v>
      </c>
      <c r="T384" s="2"/>
      <c r="U384" s="2"/>
      <c r="V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 t="n">
        <f aca="false">J385*K385</f>
        <v>0</v>
      </c>
      <c r="M385" s="2" t="str">
        <f aca="false">IF(L385&gt;=15,"Critical",IF(L385&gt;=9,"High",IF(L385&gt;=4,"Medium","Low")))</f>
        <v>Low</v>
      </c>
      <c r="N385" s="2"/>
      <c r="O385" s="2"/>
      <c r="P385" s="2"/>
      <c r="Q385" s="2"/>
      <c r="R385" s="2" t="n">
        <f aca="false">P385*Q385</f>
        <v>0</v>
      </c>
      <c r="S385" s="2" t="str">
        <f aca="false">IF(R385&gt;=15,"Critical",IF(R385&gt;=9,"High",IF(R385&gt;=4,"Medium","Low")))</f>
        <v>Low</v>
      </c>
      <c r="T385" s="2"/>
      <c r="U385" s="2"/>
      <c r="V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 t="n">
        <f aca="false">J386*K386</f>
        <v>0</v>
      </c>
      <c r="M386" s="2" t="str">
        <f aca="false">IF(L386&gt;=15,"Critical",IF(L386&gt;=9,"High",IF(L386&gt;=4,"Medium","Low")))</f>
        <v>Low</v>
      </c>
      <c r="N386" s="2"/>
      <c r="O386" s="2"/>
      <c r="P386" s="2"/>
      <c r="Q386" s="2"/>
      <c r="R386" s="2" t="n">
        <f aca="false">P386*Q386</f>
        <v>0</v>
      </c>
      <c r="S386" s="2" t="str">
        <f aca="false">IF(R386&gt;=15,"Critical",IF(R386&gt;=9,"High",IF(R386&gt;=4,"Medium","Low")))</f>
        <v>Low</v>
      </c>
      <c r="T386" s="2"/>
      <c r="U386" s="2"/>
      <c r="V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 t="n">
        <f aca="false">J387*K387</f>
        <v>0</v>
      </c>
      <c r="M387" s="2" t="str">
        <f aca="false">IF(L387&gt;=15,"Critical",IF(L387&gt;=9,"High",IF(L387&gt;=4,"Medium","Low")))</f>
        <v>Low</v>
      </c>
      <c r="N387" s="2"/>
      <c r="O387" s="2"/>
      <c r="P387" s="2"/>
      <c r="Q387" s="2"/>
      <c r="R387" s="2" t="n">
        <f aca="false">P387*Q387</f>
        <v>0</v>
      </c>
      <c r="S387" s="2" t="str">
        <f aca="false">IF(R387&gt;=15,"Critical",IF(R387&gt;=9,"High",IF(R387&gt;=4,"Medium","Low")))</f>
        <v>Low</v>
      </c>
      <c r="T387" s="2"/>
      <c r="U387" s="2"/>
      <c r="V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 t="n">
        <f aca="false">J388*K388</f>
        <v>0</v>
      </c>
      <c r="M388" s="2" t="str">
        <f aca="false">IF(L388&gt;=15,"Critical",IF(L388&gt;=9,"High",IF(L388&gt;=4,"Medium","Low")))</f>
        <v>Low</v>
      </c>
      <c r="N388" s="2"/>
      <c r="O388" s="2"/>
      <c r="P388" s="2"/>
      <c r="Q388" s="2"/>
      <c r="R388" s="2" t="n">
        <f aca="false">P388*Q388</f>
        <v>0</v>
      </c>
      <c r="S388" s="2" t="str">
        <f aca="false">IF(R388&gt;=15,"Critical",IF(R388&gt;=9,"High",IF(R388&gt;=4,"Medium","Low")))</f>
        <v>Low</v>
      </c>
      <c r="T388" s="2"/>
      <c r="U388" s="2"/>
      <c r="V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 t="n">
        <f aca="false">J389*K389</f>
        <v>0</v>
      </c>
      <c r="M389" s="2" t="str">
        <f aca="false">IF(L389&gt;=15,"Critical",IF(L389&gt;=9,"High",IF(L389&gt;=4,"Medium","Low")))</f>
        <v>Low</v>
      </c>
      <c r="N389" s="2"/>
      <c r="O389" s="2"/>
      <c r="P389" s="2"/>
      <c r="Q389" s="2"/>
      <c r="R389" s="2" t="n">
        <f aca="false">P389*Q389</f>
        <v>0</v>
      </c>
      <c r="S389" s="2" t="str">
        <f aca="false">IF(R389&gt;=15,"Critical",IF(R389&gt;=9,"High",IF(R389&gt;=4,"Medium","Low")))</f>
        <v>Low</v>
      </c>
      <c r="T389" s="2"/>
      <c r="U389" s="2"/>
      <c r="V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 t="n">
        <f aca="false">J390*K390</f>
        <v>0</v>
      </c>
      <c r="M390" s="2" t="str">
        <f aca="false">IF(L390&gt;=15,"Critical",IF(L390&gt;=9,"High",IF(L390&gt;=4,"Medium","Low")))</f>
        <v>Low</v>
      </c>
      <c r="N390" s="2"/>
      <c r="O390" s="2"/>
      <c r="P390" s="2"/>
      <c r="Q390" s="2"/>
      <c r="R390" s="2" t="n">
        <f aca="false">P390*Q390</f>
        <v>0</v>
      </c>
      <c r="S390" s="2" t="str">
        <f aca="false">IF(R390&gt;=15,"Critical",IF(R390&gt;=9,"High",IF(R390&gt;=4,"Medium","Low")))</f>
        <v>Low</v>
      </c>
      <c r="T390" s="2"/>
      <c r="U390" s="2"/>
      <c r="V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 t="n">
        <f aca="false">J391*K391</f>
        <v>0</v>
      </c>
      <c r="M391" s="2" t="str">
        <f aca="false">IF(L391&gt;=15,"Critical",IF(L391&gt;=9,"High",IF(L391&gt;=4,"Medium","Low")))</f>
        <v>Low</v>
      </c>
      <c r="N391" s="2"/>
      <c r="O391" s="2"/>
      <c r="P391" s="2"/>
      <c r="Q391" s="2"/>
      <c r="R391" s="2" t="n">
        <f aca="false">P391*Q391</f>
        <v>0</v>
      </c>
      <c r="S391" s="2" t="str">
        <f aca="false">IF(R391&gt;=15,"Critical",IF(R391&gt;=9,"High",IF(R391&gt;=4,"Medium","Low")))</f>
        <v>Low</v>
      </c>
      <c r="T391" s="2"/>
      <c r="U391" s="2"/>
      <c r="V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 t="n">
        <f aca="false">J392*K392</f>
        <v>0</v>
      </c>
      <c r="M392" s="2" t="str">
        <f aca="false">IF(L392&gt;=15,"Critical",IF(L392&gt;=9,"High",IF(L392&gt;=4,"Medium","Low")))</f>
        <v>Low</v>
      </c>
      <c r="N392" s="2"/>
      <c r="O392" s="2"/>
      <c r="P392" s="2"/>
      <c r="Q392" s="2"/>
      <c r="R392" s="2" t="n">
        <f aca="false">P392*Q392</f>
        <v>0</v>
      </c>
      <c r="S392" s="2" t="str">
        <f aca="false">IF(R392&gt;=15,"Critical",IF(R392&gt;=9,"High",IF(R392&gt;=4,"Medium","Low")))</f>
        <v>Low</v>
      </c>
      <c r="T392" s="2"/>
      <c r="U392" s="2"/>
      <c r="V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 t="n">
        <f aca="false">J393*K393</f>
        <v>0</v>
      </c>
      <c r="M393" s="2" t="str">
        <f aca="false">IF(L393&gt;=15,"Critical",IF(L393&gt;=9,"High",IF(L393&gt;=4,"Medium","Low")))</f>
        <v>Low</v>
      </c>
      <c r="N393" s="2"/>
      <c r="O393" s="2"/>
      <c r="P393" s="2"/>
      <c r="Q393" s="2"/>
      <c r="R393" s="2" t="n">
        <f aca="false">P393*Q393</f>
        <v>0</v>
      </c>
      <c r="S393" s="2" t="str">
        <f aca="false">IF(R393&gt;=15,"Critical",IF(R393&gt;=9,"High",IF(R393&gt;=4,"Medium","Low")))</f>
        <v>Low</v>
      </c>
      <c r="T393" s="2"/>
      <c r="U393" s="2"/>
      <c r="V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 t="n">
        <f aca="false">J394*K394</f>
        <v>0</v>
      </c>
      <c r="M394" s="2" t="str">
        <f aca="false">IF(L394&gt;=15,"Critical",IF(L394&gt;=9,"High",IF(L394&gt;=4,"Medium","Low")))</f>
        <v>Low</v>
      </c>
      <c r="N394" s="2"/>
      <c r="O394" s="2"/>
      <c r="P394" s="2"/>
      <c r="Q394" s="2"/>
      <c r="R394" s="2" t="n">
        <f aca="false">P394*Q394</f>
        <v>0</v>
      </c>
      <c r="S394" s="2" t="str">
        <f aca="false">IF(R394&gt;=15,"Critical",IF(R394&gt;=9,"High",IF(R394&gt;=4,"Medium","Low")))</f>
        <v>Low</v>
      </c>
      <c r="T394" s="2"/>
      <c r="U394" s="2"/>
      <c r="V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 t="n">
        <f aca="false">J395*K395</f>
        <v>0</v>
      </c>
      <c r="M395" s="2" t="str">
        <f aca="false">IF(L395&gt;=15,"Critical",IF(L395&gt;=9,"High",IF(L395&gt;=4,"Medium","Low")))</f>
        <v>Low</v>
      </c>
      <c r="N395" s="2"/>
      <c r="O395" s="2"/>
      <c r="P395" s="2"/>
      <c r="Q395" s="2"/>
      <c r="R395" s="2" t="n">
        <f aca="false">P395*Q395</f>
        <v>0</v>
      </c>
      <c r="S395" s="2" t="str">
        <f aca="false">IF(R395&gt;=15,"Critical",IF(R395&gt;=9,"High",IF(R395&gt;=4,"Medium","Low")))</f>
        <v>Low</v>
      </c>
      <c r="T395" s="2"/>
      <c r="U395" s="2"/>
      <c r="V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 t="n">
        <f aca="false">J396*K396</f>
        <v>0</v>
      </c>
      <c r="M396" s="2" t="str">
        <f aca="false">IF(L396&gt;=15,"Critical",IF(L396&gt;=9,"High",IF(L396&gt;=4,"Medium","Low")))</f>
        <v>Low</v>
      </c>
      <c r="N396" s="2"/>
      <c r="O396" s="2"/>
      <c r="P396" s="2"/>
      <c r="Q396" s="2"/>
      <c r="R396" s="2" t="n">
        <f aca="false">P396*Q396</f>
        <v>0</v>
      </c>
      <c r="S396" s="2" t="str">
        <f aca="false">IF(R396&gt;=15,"Critical",IF(R396&gt;=9,"High",IF(R396&gt;=4,"Medium","Low")))</f>
        <v>Low</v>
      </c>
      <c r="T396" s="2"/>
      <c r="U396" s="2"/>
      <c r="V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 t="n">
        <f aca="false">J397*K397</f>
        <v>0</v>
      </c>
      <c r="M397" s="2" t="str">
        <f aca="false">IF(L397&gt;=15,"Critical",IF(L397&gt;=9,"High",IF(L397&gt;=4,"Medium","Low")))</f>
        <v>Low</v>
      </c>
      <c r="N397" s="2"/>
      <c r="O397" s="2"/>
      <c r="P397" s="2"/>
      <c r="Q397" s="2"/>
      <c r="R397" s="2" t="n">
        <f aca="false">P397*Q397</f>
        <v>0</v>
      </c>
      <c r="S397" s="2" t="str">
        <f aca="false">IF(R397&gt;=15,"Critical",IF(R397&gt;=9,"High",IF(R397&gt;=4,"Medium","Low")))</f>
        <v>Low</v>
      </c>
      <c r="T397" s="2"/>
      <c r="U397" s="2"/>
      <c r="V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 t="n">
        <f aca="false">J398*K398</f>
        <v>0</v>
      </c>
      <c r="M398" s="2" t="str">
        <f aca="false">IF(L398&gt;=15,"Critical",IF(L398&gt;=9,"High",IF(L398&gt;=4,"Medium","Low")))</f>
        <v>Low</v>
      </c>
      <c r="N398" s="2"/>
      <c r="O398" s="2"/>
      <c r="P398" s="2"/>
      <c r="Q398" s="2"/>
      <c r="R398" s="2" t="n">
        <f aca="false">P398*Q398</f>
        <v>0</v>
      </c>
      <c r="S398" s="2" t="str">
        <f aca="false">IF(R398&gt;=15,"Critical",IF(R398&gt;=9,"High",IF(R398&gt;=4,"Medium","Low")))</f>
        <v>Low</v>
      </c>
      <c r="T398" s="2"/>
      <c r="U398" s="2"/>
      <c r="V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 t="n">
        <f aca="false">J399*K399</f>
        <v>0</v>
      </c>
      <c r="M399" s="2" t="str">
        <f aca="false">IF(L399&gt;=15,"Critical",IF(L399&gt;=9,"High",IF(L399&gt;=4,"Medium","Low")))</f>
        <v>Low</v>
      </c>
      <c r="N399" s="2"/>
      <c r="O399" s="2"/>
      <c r="P399" s="2"/>
      <c r="Q399" s="2"/>
      <c r="R399" s="2" t="n">
        <f aca="false">P399*Q399</f>
        <v>0</v>
      </c>
      <c r="S399" s="2" t="str">
        <f aca="false">IF(R399&gt;=15,"Critical",IF(R399&gt;=9,"High",IF(R399&gt;=4,"Medium","Low")))</f>
        <v>Low</v>
      </c>
      <c r="T399" s="2"/>
      <c r="U399" s="2"/>
      <c r="V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 t="n">
        <f aca="false">J400*K400</f>
        <v>0</v>
      </c>
      <c r="M400" s="2" t="str">
        <f aca="false">IF(L400&gt;=15,"Critical",IF(L400&gt;=9,"High",IF(L400&gt;=4,"Medium","Low")))</f>
        <v>Low</v>
      </c>
      <c r="N400" s="2"/>
      <c r="O400" s="2"/>
      <c r="P400" s="2"/>
      <c r="Q400" s="2"/>
      <c r="R400" s="2" t="n">
        <f aca="false">P400*Q400</f>
        <v>0</v>
      </c>
      <c r="S400" s="2" t="str">
        <f aca="false">IF(R400&gt;=15,"Critical",IF(R400&gt;=9,"High",IF(R400&gt;=4,"Medium","Low")))</f>
        <v>Low</v>
      </c>
      <c r="T400" s="2"/>
      <c r="U400" s="2"/>
      <c r="V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 t="n">
        <f aca="false">J401*K401</f>
        <v>0</v>
      </c>
      <c r="M401" s="2" t="str">
        <f aca="false">IF(L401&gt;=15,"Critical",IF(L401&gt;=9,"High",IF(L401&gt;=4,"Medium","Low")))</f>
        <v>Low</v>
      </c>
      <c r="N401" s="2"/>
      <c r="O401" s="2"/>
      <c r="P401" s="2"/>
      <c r="Q401" s="2"/>
      <c r="R401" s="2" t="n">
        <f aca="false">P401*Q401</f>
        <v>0</v>
      </c>
      <c r="S401" s="2" t="str">
        <f aca="false">IF(R401&gt;=15,"Critical",IF(R401&gt;=9,"High",IF(R401&gt;=4,"Medium","Low")))</f>
        <v>Low</v>
      </c>
      <c r="T401" s="2"/>
      <c r="U401" s="2"/>
      <c r="V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 t="n">
        <f aca="false">J402*K402</f>
        <v>0</v>
      </c>
      <c r="M402" s="2" t="str">
        <f aca="false">IF(L402&gt;=15,"Critical",IF(L402&gt;=9,"High",IF(L402&gt;=4,"Medium","Low")))</f>
        <v>Low</v>
      </c>
      <c r="N402" s="2"/>
      <c r="O402" s="2"/>
      <c r="P402" s="2"/>
      <c r="Q402" s="2"/>
      <c r="R402" s="2" t="n">
        <f aca="false">P402*Q402</f>
        <v>0</v>
      </c>
      <c r="S402" s="2" t="str">
        <f aca="false">IF(R402&gt;=15,"Critical",IF(R402&gt;=9,"High",IF(R402&gt;=4,"Medium","Low")))</f>
        <v>Low</v>
      </c>
      <c r="T402" s="2"/>
      <c r="U402" s="2"/>
      <c r="V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 t="n">
        <f aca="false">J403*K403</f>
        <v>0</v>
      </c>
      <c r="M403" s="2" t="str">
        <f aca="false">IF(L403&gt;=15,"Critical",IF(L403&gt;=9,"High",IF(L403&gt;=4,"Medium","Low")))</f>
        <v>Low</v>
      </c>
      <c r="N403" s="2"/>
      <c r="O403" s="2"/>
      <c r="P403" s="2"/>
      <c r="Q403" s="2"/>
      <c r="R403" s="2" t="n">
        <f aca="false">P403*Q403</f>
        <v>0</v>
      </c>
      <c r="S403" s="2" t="str">
        <f aca="false">IF(R403&gt;=15,"Critical",IF(R403&gt;=9,"High",IF(R403&gt;=4,"Medium","Low")))</f>
        <v>Low</v>
      </c>
      <c r="T403" s="2"/>
      <c r="U403" s="2"/>
      <c r="V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 t="n">
        <f aca="false">J404*K404</f>
        <v>0</v>
      </c>
      <c r="M404" s="2" t="str">
        <f aca="false">IF(L404&gt;=15,"Critical",IF(L404&gt;=9,"High",IF(L404&gt;=4,"Medium","Low")))</f>
        <v>Low</v>
      </c>
      <c r="N404" s="2"/>
      <c r="O404" s="2"/>
      <c r="P404" s="2"/>
      <c r="Q404" s="2"/>
      <c r="R404" s="2" t="n">
        <f aca="false">P404*Q404</f>
        <v>0</v>
      </c>
      <c r="S404" s="2" t="str">
        <f aca="false">IF(R404&gt;=15,"Critical",IF(R404&gt;=9,"High",IF(R404&gt;=4,"Medium","Low")))</f>
        <v>Low</v>
      </c>
      <c r="T404" s="2"/>
      <c r="U404" s="2"/>
      <c r="V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 t="n">
        <f aca="false">J405*K405</f>
        <v>0</v>
      </c>
      <c r="M405" s="2" t="str">
        <f aca="false">IF(L405&gt;=15,"Critical",IF(L405&gt;=9,"High",IF(L405&gt;=4,"Medium","Low")))</f>
        <v>Low</v>
      </c>
      <c r="N405" s="2"/>
      <c r="O405" s="2"/>
      <c r="P405" s="2"/>
      <c r="Q405" s="2"/>
      <c r="R405" s="2" t="n">
        <f aca="false">P405*Q405</f>
        <v>0</v>
      </c>
      <c r="S405" s="2" t="str">
        <f aca="false">IF(R405&gt;=15,"Critical",IF(R405&gt;=9,"High",IF(R405&gt;=4,"Medium","Low")))</f>
        <v>Low</v>
      </c>
      <c r="T405" s="2"/>
      <c r="U405" s="2"/>
      <c r="V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 t="n">
        <f aca="false">J406*K406</f>
        <v>0</v>
      </c>
      <c r="M406" s="2" t="str">
        <f aca="false">IF(L406&gt;=15,"Critical",IF(L406&gt;=9,"High",IF(L406&gt;=4,"Medium","Low")))</f>
        <v>Low</v>
      </c>
      <c r="N406" s="2"/>
      <c r="O406" s="2"/>
      <c r="P406" s="2"/>
      <c r="Q406" s="2"/>
      <c r="R406" s="2" t="n">
        <f aca="false">P406*Q406</f>
        <v>0</v>
      </c>
      <c r="S406" s="2" t="str">
        <f aca="false">IF(R406&gt;=15,"Critical",IF(R406&gt;=9,"High",IF(R406&gt;=4,"Medium","Low")))</f>
        <v>Low</v>
      </c>
      <c r="T406" s="2"/>
      <c r="U406" s="2"/>
      <c r="V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 t="n">
        <f aca="false">J407*K407</f>
        <v>0</v>
      </c>
      <c r="M407" s="2" t="str">
        <f aca="false">IF(L407&gt;=15,"Critical",IF(L407&gt;=9,"High",IF(L407&gt;=4,"Medium","Low")))</f>
        <v>Low</v>
      </c>
      <c r="N407" s="2"/>
      <c r="O407" s="2"/>
      <c r="P407" s="2"/>
      <c r="Q407" s="2"/>
      <c r="R407" s="2" t="n">
        <f aca="false">P407*Q407</f>
        <v>0</v>
      </c>
      <c r="S407" s="2" t="str">
        <f aca="false">IF(R407&gt;=15,"Critical",IF(R407&gt;=9,"High",IF(R407&gt;=4,"Medium","Low")))</f>
        <v>Low</v>
      </c>
      <c r="T407" s="2"/>
      <c r="U407" s="2"/>
      <c r="V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 t="n">
        <f aca="false">J408*K408</f>
        <v>0</v>
      </c>
      <c r="M408" s="2" t="str">
        <f aca="false">IF(L408&gt;=15,"Critical",IF(L408&gt;=9,"High",IF(L408&gt;=4,"Medium","Low")))</f>
        <v>Low</v>
      </c>
      <c r="N408" s="2"/>
      <c r="O408" s="2"/>
      <c r="P408" s="2"/>
      <c r="Q408" s="2"/>
      <c r="R408" s="2" t="n">
        <f aca="false">P408*Q408</f>
        <v>0</v>
      </c>
      <c r="S408" s="2" t="str">
        <f aca="false">IF(R408&gt;=15,"Critical",IF(R408&gt;=9,"High",IF(R408&gt;=4,"Medium","Low")))</f>
        <v>Low</v>
      </c>
      <c r="T408" s="2"/>
      <c r="U408" s="2"/>
      <c r="V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 t="n">
        <f aca="false">J409*K409</f>
        <v>0</v>
      </c>
      <c r="M409" s="2" t="str">
        <f aca="false">IF(L409&gt;=15,"Critical",IF(L409&gt;=9,"High",IF(L409&gt;=4,"Medium","Low")))</f>
        <v>Low</v>
      </c>
      <c r="N409" s="2"/>
      <c r="O409" s="2"/>
      <c r="P409" s="2"/>
      <c r="Q409" s="2"/>
      <c r="R409" s="2" t="n">
        <f aca="false">P409*Q409</f>
        <v>0</v>
      </c>
      <c r="S409" s="2" t="str">
        <f aca="false">IF(R409&gt;=15,"Critical",IF(R409&gt;=9,"High",IF(R409&gt;=4,"Medium","Low")))</f>
        <v>Low</v>
      </c>
      <c r="T409" s="2"/>
      <c r="U409" s="2"/>
      <c r="V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 t="n">
        <f aca="false">J410*K410</f>
        <v>0</v>
      </c>
      <c r="M410" s="2" t="str">
        <f aca="false">IF(L410&gt;=15,"Critical",IF(L410&gt;=9,"High",IF(L410&gt;=4,"Medium","Low")))</f>
        <v>Low</v>
      </c>
      <c r="N410" s="2"/>
      <c r="O410" s="2"/>
      <c r="P410" s="2"/>
      <c r="Q410" s="2"/>
      <c r="R410" s="2" t="n">
        <f aca="false">P410*Q410</f>
        <v>0</v>
      </c>
      <c r="S410" s="2" t="str">
        <f aca="false">IF(R410&gt;=15,"Critical",IF(R410&gt;=9,"High",IF(R410&gt;=4,"Medium","Low")))</f>
        <v>Low</v>
      </c>
      <c r="T410" s="2"/>
      <c r="U410" s="2"/>
      <c r="V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 t="n">
        <f aca="false">J411*K411</f>
        <v>0</v>
      </c>
      <c r="M411" s="2" t="str">
        <f aca="false">IF(L411&gt;=15,"Critical",IF(L411&gt;=9,"High",IF(L411&gt;=4,"Medium","Low")))</f>
        <v>Low</v>
      </c>
      <c r="N411" s="2"/>
      <c r="O411" s="2"/>
      <c r="P411" s="2"/>
      <c r="Q411" s="2"/>
      <c r="R411" s="2" t="n">
        <f aca="false">P411*Q411</f>
        <v>0</v>
      </c>
      <c r="S411" s="2" t="str">
        <f aca="false">IF(R411&gt;=15,"Critical",IF(R411&gt;=9,"High",IF(R411&gt;=4,"Medium","Low")))</f>
        <v>Low</v>
      </c>
      <c r="T411" s="2"/>
      <c r="U411" s="2"/>
      <c r="V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 t="n">
        <f aca="false">J412*K412</f>
        <v>0</v>
      </c>
      <c r="M412" s="2" t="str">
        <f aca="false">IF(L412&gt;=15,"Critical",IF(L412&gt;=9,"High",IF(L412&gt;=4,"Medium","Low")))</f>
        <v>Low</v>
      </c>
      <c r="N412" s="2"/>
      <c r="O412" s="2"/>
      <c r="P412" s="2"/>
      <c r="Q412" s="2"/>
      <c r="R412" s="2" t="n">
        <f aca="false">P412*Q412</f>
        <v>0</v>
      </c>
      <c r="S412" s="2" t="str">
        <f aca="false">IF(R412&gt;=15,"Critical",IF(R412&gt;=9,"High",IF(R412&gt;=4,"Medium","Low")))</f>
        <v>Low</v>
      </c>
      <c r="T412" s="2"/>
      <c r="U412" s="2"/>
      <c r="V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 t="n">
        <f aca="false">J413*K413</f>
        <v>0</v>
      </c>
      <c r="M413" s="2" t="str">
        <f aca="false">IF(L413&gt;=15,"Critical",IF(L413&gt;=9,"High",IF(L413&gt;=4,"Medium","Low")))</f>
        <v>Low</v>
      </c>
      <c r="N413" s="2"/>
      <c r="O413" s="2"/>
      <c r="P413" s="2"/>
      <c r="Q413" s="2"/>
      <c r="R413" s="2" t="n">
        <f aca="false">P413*Q413</f>
        <v>0</v>
      </c>
      <c r="S413" s="2" t="str">
        <f aca="false">IF(R413&gt;=15,"Critical",IF(R413&gt;=9,"High",IF(R413&gt;=4,"Medium","Low")))</f>
        <v>Low</v>
      </c>
      <c r="T413" s="2"/>
      <c r="U413" s="2"/>
      <c r="V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 t="n">
        <f aca="false">J414*K414</f>
        <v>0</v>
      </c>
      <c r="M414" s="2" t="str">
        <f aca="false">IF(L414&gt;=15,"Critical",IF(L414&gt;=9,"High",IF(L414&gt;=4,"Medium","Low")))</f>
        <v>Low</v>
      </c>
      <c r="N414" s="2"/>
      <c r="O414" s="2"/>
      <c r="P414" s="2"/>
      <c r="Q414" s="2"/>
      <c r="R414" s="2" t="n">
        <f aca="false">P414*Q414</f>
        <v>0</v>
      </c>
      <c r="S414" s="2" t="str">
        <f aca="false">IF(R414&gt;=15,"Critical",IF(R414&gt;=9,"High",IF(R414&gt;=4,"Medium","Low")))</f>
        <v>Low</v>
      </c>
      <c r="T414" s="2"/>
      <c r="U414" s="2"/>
      <c r="V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 t="n">
        <f aca="false">J415*K415</f>
        <v>0</v>
      </c>
      <c r="M415" s="2" t="str">
        <f aca="false">IF(L415&gt;=15,"Critical",IF(L415&gt;=9,"High",IF(L415&gt;=4,"Medium","Low")))</f>
        <v>Low</v>
      </c>
      <c r="N415" s="2"/>
      <c r="O415" s="2"/>
      <c r="P415" s="2"/>
      <c r="Q415" s="2"/>
      <c r="R415" s="2" t="n">
        <f aca="false">P415*Q415</f>
        <v>0</v>
      </c>
      <c r="S415" s="2" t="str">
        <f aca="false">IF(R415&gt;=15,"Critical",IF(R415&gt;=9,"High",IF(R415&gt;=4,"Medium","Low")))</f>
        <v>Low</v>
      </c>
      <c r="T415" s="2"/>
      <c r="U415" s="2"/>
      <c r="V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 t="n">
        <f aca="false">J416*K416</f>
        <v>0</v>
      </c>
      <c r="M416" s="2" t="str">
        <f aca="false">IF(L416&gt;=15,"Critical",IF(L416&gt;=9,"High",IF(L416&gt;=4,"Medium","Low")))</f>
        <v>Low</v>
      </c>
      <c r="N416" s="2"/>
      <c r="O416" s="2"/>
      <c r="P416" s="2"/>
      <c r="Q416" s="2"/>
      <c r="R416" s="2" t="n">
        <f aca="false">P416*Q416</f>
        <v>0</v>
      </c>
      <c r="S416" s="2" t="str">
        <f aca="false">IF(R416&gt;=15,"Critical",IF(R416&gt;=9,"High",IF(R416&gt;=4,"Medium","Low")))</f>
        <v>Low</v>
      </c>
      <c r="T416" s="2"/>
      <c r="U416" s="2"/>
      <c r="V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 t="n">
        <f aca="false">J417*K417</f>
        <v>0</v>
      </c>
      <c r="M417" s="2" t="str">
        <f aca="false">IF(L417&gt;=15,"Critical",IF(L417&gt;=9,"High",IF(L417&gt;=4,"Medium","Low")))</f>
        <v>Low</v>
      </c>
      <c r="N417" s="2"/>
      <c r="O417" s="2"/>
      <c r="P417" s="2"/>
      <c r="Q417" s="2"/>
      <c r="R417" s="2" t="n">
        <f aca="false">P417*Q417</f>
        <v>0</v>
      </c>
      <c r="S417" s="2" t="str">
        <f aca="false">IF(R417&gt;=15,"Critical",IF(R417&gt;=9,"High",IF(R417&gt;=4,"Medium","Low")))</f>
        <v>Low</v>
      </c>
      <c r="T417" s="2"/>
      <c r="U417" s="2"/>
      <c r="V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 t="n">
        <f aca="false">J418*K418</f>
        <v>0</v>
      </c>
      <c r="M418" s="2" t="str">
        <f aca="false">IF(L418&gt;=15,"Critical",IF(L418&gt;=9,"High",IF(L418&gt;=4,"Medium","Low")))</f>
        <v>Low</v>
      </c>
      <c r="N418" s="2"/>
      <c r="O418" s="2"/>
      <c r="P418" s="2"/>
      <c r="Q418" s="2"/>
      <c r="R418" s="2" t="n">
        <f aca="false">P418*Q418</f>
        <v>0</v>
      </c>
      <c r="S418" s="2" t="str">
        <f aca="false">IF(R418&gt;=15,"Critical",IF(R418&gt;=9,"High",IF(R418&gt;=4,"Medium","Low")))</f>
        <v>Low</v>
      </c>
      <c r="T418" s="2"/>
      <c r="U418" s="2"/>
      <c r="V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 t="n">
        <f aca="false">J419*K419</f>
        <v>0</v>
      </c>
      <c r="M419" s="2" t="str">
        <f aca="false">IF(L419&gt;=15,"Critical",IF(L419&gt;=9,"High",IF(L419&gt;=4,"Medium","Low")))</f>
        <v>Low</v>
      </c>
      <c r="N419" s="2"/>
      <c r="O419" s="2"/>
      <c r="P419" s="2"/>
      <c r="Q419" s="2"/>
      <c r="R419" s="2" t="n">
        <f aca="false">P419*Q419</f>
        <v>0</v>
      </c>
      <c r="S419" s="2" t="str">
        <f aca="false">IF(R419&gt;=15,"Critical",IF(R419&gt;=9,"High",IF(R419&gt;=4,"Medium","Low")))</f>
        <v>Low</v>
      </c>
      <c r="T419" s="2"/>
      <c r="U419" s="2"/>
      <c r="V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 t="n">
        <f aca="false">J420*K420</f>
        <v>0</v>
      </c>
      <c r="M420" s="2" t="str">
        <f aca="false">IF(L420&gt;=15,"Critical",IF(L420&gt;=9,"High",IF(L420&gt;=4,"Medium","Low")))</f>
        <v>Low</v>
      </c>
      <c r="N420" s="2"/>
      <c r="O420" s="2"/>
      <c r="P420" s="2"/>
      <c r="Q420" s="2"/>
      <c r="R420" s="2" t="n">
        <f aca="false">P420*Q420</f>
        <v>0</v>
      </c>
      <c r="S420" s="2" t="str">
        <f aca="false">IF(R420&gt;=15,"Critical",IF(R420&gt;=9,"High",IF(R420&gt;=4,"Medium","Low")))</f>
        <v>Low</v>
      </c>
      <c r="T420" s="2"/>
      <c r="U420" s="2"/>
      <c r="V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 t="n">
        <f aca="false">J421*K421</f>
        <v>0</v>
      </c>
      <c r="M421" s="2" t="str">
        <f aca="false">IF(L421&gt;=15,"Critical",IF(L421&gt;=9,"High",IF(L421&gt;=4,"Medium","Low")))</f>
        <v>Low</v>
      </c>
      <c r="N421" s="2"/>
      <c r="O421" s="2"/>
      <c r="P421" s="2"/>
      <c r="Q421" s="2"/>
      <c r="R421" s="2" t="n">
        <f aca="false">P421*Q421</f>
        <v>0</v>
      </c>
      <c r="S421" s="2" t="str">
        <f aca="false">IF(R421&gt;=15,"Critical",IF(R421&gt;=9,"High",IF(R421&gt;=4,"Medium","Low")))</f>
        <v>Low</v>
      </c>
      <c r="T421" s="2"/>
      <c r="U421" s="2"/>
      <c r="V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 t="n">
        <f aca="false">J422*K422</f>
        <v>0</v>
      </c>
      <c r="M422" s="2" t="str">
        <f aca="false">IF(L422&gt;=15,"Critical",IF(L422&gt;=9,"High",IF(L422&gt;=4,"Medium","Low")))</f>
        <v>Low</v>
      </c>
      <c r="N422" s="2"/>
      <c r="O422" s="2"/>
      <c r="P422" s="2"/>
      <c r="Q422" s="2"/>
      <c r="R422" s="2" t="n">
        <f aca="false">P422*Q422</f>
        <v>0</v>
      </c>
      <c r="S422" s="2" t="str">
        <f aca="false">IF(R422&gt;=15,"Critical",IF(R422&gt;=9,"High",IF(R422&gt;=4,"Medium","Low")))</f>
        <v>Low</v>
      </c>
      <c r="T422" s="2"/>
      <c r="U422" s="2"/>
      <c r="V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 t="n">
        <f aca="false">J423*K423</f>
        <v>0</v>
      </c>
      <c r="M423" s="2" t="str">
        <f aca="false">IF(L423&gt;=15,"Critical",IF(L423&gt;=9,"High",IF(L423&gt;=4,"Medium","Low")))</f>
        <v>Low</v>
      </c>
      <c r="N423" s="2"/>
      <c r="O423" s="2"/>
      <c r="P423" s="2"/>
      <c r="Q423" s="2"/>
      <c r="R423" s="2" t="n">
        <f aca="false">P423*Q423</f>
        <v>0</v>
      </c>
      <c r="S423" s="2" t="str">
        <f aca="false">IF(R423&gt;=15,"Critical",IF(R423&gt;=9,"High",IF(R423&gt;=4,"Medium","Low")))</f>
        <v>Low</v>
      </c>
      <c r="T423" s="2"/>
      <c r="U423" s="2"/>
      <c r="V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 t="n">
        <f aca="false">J424*K424</f>
        <v>0</v>
      </c>
      <c r="M424" s="2" t="str">
        <f aca="false">IF(L424&gt;=15,"Critical",IF(L424&gt;=9,"High",IF(L424&gt;=4,"Medium","Low")))</f>
        <v>Low</v>
      </c>
      <c r="N424" s="2"/>
      <c r="O424" s="2"/>
      <c r="P424" s="2"/>
      <c r="Q424" s="2"/>
      <c r="R424" s="2" t="n">
        <f aca="false">P424*Q424</f>
        <v>0</v>
      </c>
      <c r="S424" s="2" t="str">
        <f aca="false">IF(R424&gt;=15,"Critical",IF(R424&gt;=9,"High",IF(R424&gt;=4,"Medium","Low")))</f>
        <v>Low</v>
      </c>
      <c r="T424" s="2"/>
      <c r="U424" s="2"/>
      <c r="V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 t="n">
        <f aca="false">J425*K425</f>
        <v>0</v>
      </c>
      <c r="M425" s="2" t="str">
        <f aca="false">IF(L425&gt;=15,"Critical",IF(L425&gt;=9,"High",IF(L425&gt;=4,"Medium","Low")))</f>
        <v>Low</v>
      </c>
      <c r="N425" s="2"/>
      <c r="O425" s="2"/>
      <c r="P425" s="2"/>
      <c r="Q425" s="2"/>
      <c r="R425" s="2" t="n">
        <f aca="false">P425*Q425</f>
        <v>0</v>
      </c>
      <c r="S425" s="2" t="str">
        <f aca="false">IF(R425&gt;=15,"Critical",IF(R425&gt;=9,"High",IF(R425&gt;=4,"Medium","Low")))</f>
        <v>Low</v>
      </c>
      <c r="T425" s="2"/>
      <c r="U425" s="2"/>
      <c r="V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 t="n">
        <f aca="false">J426*K426</f>
        <v>0</v>
      </c>
      <c r="M426" s="2" t="str">
        <f aca="false">IF(L426&gt;=15,"Critical",IF(L426&gt;=9,"High",IF(L426&gt;=4,"Medium","Low")))</f>
        <v>Low</v>
      </c>
      <c r="N426" s="2"/>
      <c r="O426" s="2"/>
      <c r="P426" s="2"/>
      <c r="Q426" s="2"/>
      <c r="R426" s="2" t="n">
        <f aca="false">P426*Q426</f>
        <v>0</v>
      </c>
      <c r="S426" s="2" t="str">
        <f aca="false">IF(R426&gt;=15,"Critical",IF(R426&gt;=9,"High",IF(R426&gt;=4,"Medium","Low")))</f>
        <v>Low</v>
      </c>
      <c r="T426" s="2"/>
      <c r="U426" s="2"/>
      <c r="V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 t="n">
        <f aca="false">J427*K427</f>
        <v>0</v>
      </c>
      <c r="M427" s="2" t="str">
        <f aca="false">IF(L427&gt;=15,"Critical",IF(L427&gt;=9,"High",IF(L427&gt;=4,"Medium","Low")))</f>
        <v>Low</v>
      </c>
      <c r="N427" s="2"/>
      <c r="O427" s="2"/>
      <c r="P427" s="2"/>
      <c r="Q427" s="2"/>
      <c r="R427" s="2" t="n">
        <f aca="false">P427*Q427</f>
        <v>0</v>
      </c>
      <c r="S427" s="2" t="str">
        <f aca="false">IF(R427&gt;=15,"Critical",IF(R427&gt;=9,"High",IF(R427&gt;=4,"Medium","Low")))</f>
        <v>Low</v>
      </c>
      <c r="T427" s="2"/>
      <c r="U427" s="2"/>
      <c r="V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 t="n">
        <f aca="false">J428*K428</f>
        <v>0</v>
      </c>
      <c r="M428" s="2" t="str">
        <f aca="false">IF(L428&gt;=15,"Critical",IF(L428&gt;=9,"High",IF(L428&gt;=4,"Medium","Low")))</f>
        <v>Low</v>
      </c>
      <c r="N428" s="2"/>
      <c r="O428" s="2"/>
      <c r="P428" s="2"/>
      <c r="Q428" s="2"/>
      <c r="R428" s="2" t="n">
        <f aca="false">P428*Q428</f>
        <v>0</v>
      </c>
      <c r="S428" s="2" t="str">
        <f aca="false">IF(R428&gt;=15,"Critical",IF(R428&gt;=9,"High",IF(R428&gt;=4,"Medium","Low")))</f>
        <v>Low</v>
      </c>
      <c r="T428" s="2"/>
      <c r="U428" s="2"/>
      <c r="V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 t="n">
        <f aca="false">J429*K429</f>
        <v>0</v>
      </c>
      <c r="M429" s="2" t="str">
        <f aca="false">IF(L429&gt;=15,"Critical",IF(L429&gt;=9,"High",IF(L429&gt;=4,"Medium","Low")))</f>
        <v>Low</v>
      </c>
      <c r="N429" s="2"/>
      <c r="O429" s="2"/>
      <c r="P429" s="2"/>
      <c r="Q429" s="2"/>
      <c r="R429" s="2" t="n">
        <f aca="false">P429*Q429</f>
        <v>0</v>
      </c>
      <c r="S429" s="2" t="str">
        <f aca="false">IF(R429&gt;=15,"Critical",IF(R429&gt;=9,"High",IF(R429&gt;=4,"Medium","Low")))</f>
        <v>Low</v>
      </c>
      <c r="T429" s="2"/>
      <c r="U429" s="2"/>
      <c r="V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 t="n">
        <f aca="false">J430*K430</f>
        <v>0</v>
      </c>
      <c r="M430" s="2" t="str">
        <f aca="false">IF(L430&gt;=15,"Critical",IF(L430&gt;=9,"High",IF(L430&gt;=4,"Medium","Low")))</f>
        <v>Low</v>
      </c>
      <c r="N430" s="2"/>
      <c r="O430" s="2"/>
      <c r="P430" s="2"/>
      <c r="Q430" s="2"/>
      <c r="R430" s="2" t="n">
        <f aca="false">P430*Q430</f>
        <v>0</v>
      </c>
      <c r="S430" s="2" t="str">
        <f aca="false">IF(R430&gt;=15,"Critical",IF(R430&gt;=9,"High",IF(R430&gt;=4,"Medium","Low")))</f>
        <v>Low</v>
      </c>
      <c r="T430" s="2"/>
      <c r="U430" s="2"/>
      <c r="V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 t="n">
        <f aca="false">J431*K431</f>
        <v>0</v>
      </c>
      <c r="M431" s="2" t="str">
        <f aca="false">IF(L431&gt;=15,"Critical",IF(L431&gt;=9,"High",IF(L431&gt;=4,"Medium","Low")))</f>
        <v>Low</v>
      </c>
      <c r="N431" s="2"/>
      <c r="O431" s="2"/>
      <c r="P431" s="2"/>
      <c r="Q431" s="2"/>
      <c r="R431" s="2" t="n">
        <f aca="false">P431*Q431</f>
        <v>0</v>
      </c>
      <c r="S431" s="2" t="str">
        <f aca="false">IF(R431&gt;=15,"Critical",IF(R431&gt;=9,"High",IF(R431&gt;=4,"Medium","Low")))</f>
        <v>Low</v>
      </c>
      <c r="T431" s="2"/>
      <c r="U431" s="2"/>
      <c r="V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 t="n">
        <f aca="false">J432*K432</f>
        <v>0</v>
      </c>
      <c r="M432" s="2" t="str">
        <f aca="false">IF(L432&gt;=15,"Critical",IF(L432&gt;=9,"High",IF(L432&gt;=4,"Medium","Low")))</f>
        <v>Low</v>
      </c>
      <c r="N432" s="2"/>
      <c r="O432" s="2"/>
      <c r="P432" s="2"/>
      <c r="Q432" s="2"/>
      <c r="R432" s="2" t="n">
        <f aca="false">P432*Q432</f>
        <v>0</v>
      </c>
      <c r="S432" s="2" t="str">
        <f aca="false">IF(R432&gt;=15,"Critical",IF(R432&gt;=9,"High",IF(R432&gt;=4,"Medium","Low")))</f>
        <v>Low</v>
      </c>
      <c r="T432" s="2"/>
      <c r="U432" s="2"/>
      <c r="V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 t="n">
        <f aca="false">J433*K433</f>
        <v>0</v>
      </c>
      <c r="M433" s="2" t="str">
        <f aca="false">IF(L433&gt;=15,"Critical",IF(L433&gt;=9,"High",IF(L433&gt;=4,"Medium","Low")))</f>
        <v>Low</v>
      </c>
      <c r="N433" s="2"/>
      <c r="O433" s="2"/>
      <c r="P433" s="2"/>
      <c r="Q433" s="2"/>
      <c r="R433" s="2" t="n">
        <f aca="false">P433*Q433</f>
        <v>0</v>
      </c>
      <c r="S433" s="2" t="str">
        <f aca="false">IF(R433&gt;=15,"Critical",IF(R433&gt;=9,"High",IF(R433&gt;=4,"Medium","Low")))</f>
        <v>Low</v>
      </c>
      <c r="T433" s="2"/>
      <c r="U433" s="2"/>
      <c r="V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 t="n">
        <f aca="false">J434*K434</f>
        <v>0</v>
      </c>
      <c r="M434" s="2" t="str">
        <f aca="false">IF(L434&gt;=15,"Critical",IF(L434&gt;=9,"High",IF(L434&gt;=4,"Medium","Low")))</f>
        <v>Low</v>
      </c>
      <c r="N434" s="2"/>
      <c r="O434" s="2"/>
      <c r="P434" s="2"/>
      <c r="Q434" s="2"/>
      <c r="R434" s="2" t="n">
        <f aca="false">P434*Q434</f>
        <v>0</v>
      </c>
      <c r="S434" s="2" t="str">
        <f aca="false">IF(R434&gt;=15,"Critical",IF(R434&gt;=9,"High",IF(R434&gt;=4,"Medium","Low")))</f>
        <v>Low</v>
      </c>
      <c r="T434" s="2"/>
      <c r="U434" s="2"/>
      <c r="V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 t="n">
        <f aca="false">J435*K435</f>
        <v>0</v>
      </c>
      <c r="M435" s="2" t="str">
        <f aca="false">IF(L435&gt;=15,"Critical",IF(L435&gt;=9,"High",IF(L435&gt;=4,"Medium","Low")))</f>
        <v>Low</v>
      </c>
      <c r="N435" s="2"/>
      <c r="O435" s="2"/>
      <c r="P435" s="2"/>
      <c r="Q435" s="2"/>
      <c r="R435" s="2" t="n">
        <f aca="false">P435*Q435</f>
        <v>0</v>
      </c>
      <c r="S435" s="2" t="str">
        <f aca="false">IF(R435&gt;=15,"Critical",IF(R435&gt;=9,"High",IF(R435&gt;=4,"Medium","Low")))</f>
        <v>Low</v>
      </c>
      <c r="T435" s="2"/>
      <c r="U435" s="2"/>
      <c r="V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 t="n">
        <f aca="false">J436*K436</f>
        <v>0</v>
      </c>
      <c r="M436" s="2" t="str">
        <f aca="false">IF(L436&gt;=15,"Critical",IF(L436&gt;=9,"High",IF(L436&gt;=4,"Medium","Low")))</f>
        <v>Low</v>
      </c>
      <c r="N436" s="2"/>
      <c r="O436" s="2"/>
      <c r="P436" s="2"/>
      <c r="Q436" s="2"/>
      <c r="R436" s="2" t="n">
        <f aca="false">P436*Q436</f>
        <v>0</v>
      </c>
      <c r="S436" s="2" t="str">
        <f aca="false">IF(R436&gt;=15,"Critical",IF(R436&gt;=9,"High",IF(R436&gt;=4,"Medium","Low")))</f>
        <v>Low</v>
      </c>
      <c r="T436" s="2"/>
      <c r="U436" s="2"/>
      <c r="V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 t="n">
        <f aca="false">J437*K437</f>
        <v>0</v>
      </c>
      <c r="M437" s="2" t="str">
        <f aca="false">IF(L437&gt;=15,"Critical",IF(L437&gt;=9,"High",IF(L437&gt;=4,"Medium","Low")))</f>
        <v>Low</v>
      </c>
      <c r="N437" s="2"/>
      <c r="O437" s="2"/>
      <c r="P437" s="2"/>
      <c r="Q437" s="2"/>
      <c r="R437" s="2" t="n">
        <f aca="false">P437*Q437</f>
        <v>0</v>
      </c>
      <c r="S437" s="2" t="str">
        <f aca="false">IF(R437&gt;=15,"Critical",IF(R437&gt;=9,"High",IF(R437&gt;=4,"Medium","Low")))</f>
        <v>Low</v>
      </c>
      <c r="T437" s="2"/>
      <c r="U437" s="2"/>
      <c r="V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 t="n">
        <f aca="false">J438*K438</f>
        <v>0</v>
      </c>
      <c r="M438" s="2" t="str">
        <f aca="false">IF(L438&gt;=15,"Critical",IF(L438&gt;=9,"High",IF(L438&gt;=4,"Medium","Low")))</f>
        <v>Low</v>
      </c>
      <c r="N438" s="2"/>
      <c r="O438" s="2"/>
      <c r="P438" s="2"/>
      <c r="Q438" s="2"/>
      <c r="R438" s="2" t="n">
        <f aca="false">P438*Q438</f>
        <v>0</v>
      </c>
      <c r="S438" s="2" t="str">
        <f aca="false">IF(R438&gt;=15,"Critical",IF(R438&gt;=9,"High",IF(R438&gt;=4,"Medium","Low")))</f>
        <v>Low</v>
      </c>
      <c r="T438" s="2"/>
      <c r="U438" s="2"/>
      <c r="V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 t="n">
        <f aca="false">J439*K439</f>
        <v>0</v>
      </c>
      <c r="M439" s="2" t="str">
        <f aca="false">IF(L439&gt;=15,"Critical",IF(L439&gt;=9,"High",IF(L439&gt;=4,"Medium","Low")))</f>
        <v>Low</v>
      </c>
      <c r="N439" s="2"/>
      <c r="O439" s="2"/>
      <c r="P439" s="2"/>
      <c r="Q439" s="2"/>
      <c r="R439" s="2" t="n">
        <f aca="false">P439*Q439</f>
        <v>0</v>
      </c>
      <c r="S439" s="2" t="str">
        <f aca="false">IF(R439&gt;=15,"Critical",IF(R439&gt;=9,"High",IF(R439&gt;=4,"Medium","Low")))</f>
        <v>Low</v>
      </c>
      <c r="T439" s="2"/>
      <c r="U439" s="2"/>
      <c r="V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 t="n">
        <f aca="false">J440*K440</f>
        <v>0</v>
      </c>
      <c r="M440" s="2" t="str">
        <f aca="false">IF(L440&gt;=15,"Critical",IF(L440&gt;=9,"High",IF(L440&gt;=4,"Medium","Low")))</f>
        <v>Low</v>
      </c>
      <c r="N440" s="2"/>
      <c r="O440" s="2"/>
      <c r="P440" s="2"/>
      <c r="Q440" s="2"/>
      <c r="R440" s="2" t="n">
        <f aca="false">P440*Q440</f>
        <v>0</v>
      </c>
      <c r="S440" s="2" t="str">
        <f aca="false">IF(R440&gt;=15,"Critical",IF(R440&gt;=9,"High",IF(R440&gt;=4,"Medium","Low")))</f>
        <v>Low</v>
      </c>
      <c r="T440" s="2"/>
      <c r="U440" s="2"/>
      <c r="V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 t="n">
        <f aca="false">J441*K441</f>
        <v>0</v>
      </c>
      <c r="M441" s="2" t="str">
        <f aca="false">IF(L441&gt;=15,"Critical",IF(L441&gt;=9,"High",IF(L441&gt;=4,"Medium","Low")))</f>
        <v>Low</v>
      </c>
      <c r="N441" s="2"/>
      <c r="O441" s="2"/>
      <c r="P441" s="2"/>
      <c r="Q441" s="2"/>
      <c r="R441" s="2" t="n">
        <f aca="false">P441*Q441</f>
        <v>0</v>
      </c>
      <c r="S441" s="2" t="str">
        <f aca="false">IF(R441&gt;=15,"Critical",IF(R441&gt;=9,"High",IF(R441&gt;=4,"Medium","Low")))</f>
        <v>Low</v>
      </c>
      <c r="T441" s="2"/>
      <c r="U441" s="2"/>
      <c r="V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 t="n">
        <f aca="false">J442*K442</f>
        <v>0</v>
      </c>
      <c r="M442" s="2" t="str">
        <f aca="false">IF(L442&gt;=15,"Critical",IF(L442&gt;=9,"High",IF(L442&gt;=4,"Medium","Low")))</f>
        <v>Low</v>
      </c>
      <c r="N442" s="2"/>
      <c r="O442" s="2"/>
      <c r="P442" s="2"/>
      <c r="Q442" s="2"/>
      <c r="R442" s="2" t="n">
        <f aca="false">P442*Q442</f>
        <v>0</v>
      </c>
      <c r="S442" s="2" t="str">
        <f aca="false">IF(R442&gt;=15,"Critical",IF(R442&gt;=9,"High",IF(R442&gt;=4,"Medium","Low")))</f>
        <v>Low</v>
      </c>
      <c r="T442" s="2"/>
      <c r="U442" s="2"/>
      <c r="V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 t="n">
        <f aca="false">J443*K443</f>
        <v>0</v>
      </c>
      <c r="M443" s="2" t="str">
        <f aca="false">IF(L443&gt;=15,"Critical",IF(L443&gt;=9,"High",IF(L443&gt;=4,"Medium","Low")))</f>
        <v>Low</v>
      </c>
      <c r="N443" s="2"/>
      <c r="O443" s="2"/>
      <c r="P443" s="2"/>
      <c r="Q443" s="2"/>
      <c r="R443" s="2" t="n">
        <f aca="false">P443*Q443</f>
        <v>0</v>
      </c>
      <c r="S443" s="2" t="str">
        <f aca="false">IF(R443&gt;=15,"Critical",IF(R443&gt;=9,"High",IF(R443&gt;=4,"Medium","Low")))</f>
        <v>Low</v>
      </c>
      <c r="T443" s="2"/>
      <c r="U443" s="2"/>
      <c r="V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 t="n">
        <f aca="false">J444*K444</f>
        <v>0</v>
      </c>
      <c r="M444" s="2" t="str">
        <f aca="false">IF(L444&gt;=15,"Critical",IF(L444&gt;=9,"High",IF(L444&gt;=4,"Medium","Low")))</f>
        <v>Low</v>
      </c>
      <c r="N444" s="2"/>
      <c r="O444" s="2"/>
      <c r="P444" s="2"/>
      <c r="Q444" s="2"/>
      <c r="R444" s="2" t="n">
        <f aca="false">P444*Q444</f>
        <v>0</v>
      </c>
      <c r="S444" s="2" t="str">
        <f aca="false">IF(R444&gt;=15,"Critical",IF(R444&gt;=9,"High",IF(R444&gt;=4,"Medium","Low")))</f>
        <v>Low</v>
      </c>
      <c r="T444" s="2"/>
      <c r="U444" s="2"/>
      <c r="V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 t="n">
        <f aca="false">J445*K445</f>
        <v>0</v>
      </c>
      <c r="M445" s="2" t="str">
        <f aca="false">IF(L445&gt;=15,"Critical",IF(L445&gt;=9,"High",IF(L445&gt;=4,"Medium","Low")))</f>
        <v>Low</v>
      </c>
      <c r="N445" s="2"/>
      <c r="O445" s="2"/>
      <c r="P445" s="2"/>
      <c r="Q445" s="2"/>
      <c r="R445" s="2" t="n">
        <f aca="false">P445*Q445</f>
        <v>0</v>
      </c>
      <c r="S445" s="2" t="str">
        <f aca="false">IF(R445&gt;=15,"Critical",IF(R445&gt;=9,"High",IF(R445&gt;=4,"Medium","Low")))</f>
        <v>Low</v>
      </c>
      <c r="T445" s="2"/>
      <c r="U445" s="2"/>
      <c r="V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 t="n">
        <f aca="false">J446*K446</f>
        <v>0</v>
      </c>
      <c r="M446" s="2" t="str">
        <f aca="false">IF(L446&gt;=15,"Critical",IF(L446&gt;=9,"High",IF(L446&gt;=4,"Medium","Low")))</f>
        <v>Low</v>
      </c>
      <c r="N446" s="2"/>
      <c r="O446" s="2"/>
      <c r="P446" s="2"/>
      <c r="Q446" s="2"/>
      <c r="R446" s="2" t="n">
        <f aca="false">P446*Q446</f>
        <v>0</v>
      </c>
      <c r="S446" s="2" t="str">
        <f aca="false">IF(R446&gt;=15,"Critical",IF(R446&gt;=9,"High",IF(R446&gt;=4,"Medium","Low")))</f>
        <v>Low</v>
      </c>
      <c r="T446" s="2"/>
      <c r="U446" s="2"/>
      <c r="V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 t="n">
        <f aca="false">J447*K447</f>
        <v>0</v>
      </c>
      <c r="M447" s="2" t="str">
        <f aca="false">IF(L447&gt;=15,"Critical",IF(L447&gt;=9,"High",IF(L447&gt;=4,"Medium","Low")))</f>
        <v>Low</v>
      </c>
      <c r="N447" s="2"/>
      <c r="O447" s="2"/>
      <c r="P447" s="2"/>
      <c r="Q447" s="2"/>
      <c r="R447" s="2" t="n">
        <f aca="false">P447*Q447</f>
        <v>0</v>
      </c>
      <c r="S447" s="2" t="str">
        <f aca="false">IF(R447&gt;=15,"Critical",IF(R447&gt;=9,"High",IF(R447&gt;=4,"Medium","Low")))</f>
        <v>Low</v>
      </c>
      <c r="T447" s="2"/>
      <c r="U447" s="2"/>
      <c r="V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 t="n">
        <f aca="false">J448*K448</f>
        <v>0</v>
      </c>
      <c r="M448" s="2" t="str">
        <f aca="false">IF(L448&gt;=15,"Critical",IF(L448&gt;=9,"High",IF(L448&gt;=4,"Medium","Low")))</f>
        <v>Low</v>
      </c>
      <c r="N448" s="2"/>
      <c r="O448" s="2"/>
      <c r="P448" s="2"/>
      <c r="Q448" s="2"/>
      <c r="R448" s="2" t="n">
        <f aca="false">P448*Q448</f>
        <v>0</v>
      </c>
      <c r="S448" s="2" t="str">
        <f aca="false">IF(R448&gt;=15,"Critical",IF(R448&gt;=9,"High",IF(R448&gt;=4,"Medium","Low")))</f>
        <v>Low</v>
      </c>
      <c r="T448" s="2"/>
      <c r="U448" s="2"/>
      <c r="V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 t="n">
        <f aca="false">J449*K449</f>
        <v>0</v>
      </c>
      <c r="M449" s="2" t="str">
        <f aca="false">IF(L449&gt;=15,"Critical",IF(L449&gt;=9,"High",IF(L449&gt;=4,"Medium","Low")))</f>
        <v>Low</v>
      </c>
      <c r="N449" s="2"/>
      <c r="O449" s="2"/>
      <c r="P449" s="2"/>
      <c r="Q449" s="2"/>
      <c r="R449" s="2" t="n">
        <f aca="false">P449*Q449</f>
        <v>0</v>
      </c>
      <c r="S449" s="2" t="str">
        <f aca="false">IF(R449&gt;=15,"Critical",IF(R449&gt;=9,"High",IF(R449&gt;=4,"Medium","Low")))</f>
        <v>Low</v>
      </c>
      <c r="T449" s="2"/>
      <c r="U449" s="2"/>
      <c r="V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 t="n">
        <f aca="false">J450*K450</f>
        <v>0</v>
      </c>
      <c r="M450" s="2" t="str">
        <f aca="false">IF(L450&gt;=15,"Critical",IF(L450&gt;=9,"High",IF(L450&gt;=4,"Medium","Low")))</f>
        <v>Low</v>
      </c>
      <c r="N450" s="2"/>
      <c r="O450" s="2"/>
      <c r="P450" s="2"/>
      <c r="Q450" s="2"/>
      <c r="R450" s="2" t="n">
        <f aca="false">P450*Q450</f>
        <v>0</v>
      </c>
      <c r="S450" s="2" t="str">
        <f aca="false">IF(R450&gt;=15,"Critical",IF(R450&gt;=9,"High",IF(R450&gt;=4,"Medium","Low")))</f>
        <v>Low</v>
      </c>
      <c r="T450" s="2"/>
      <c r="U450" s="2"/>
      <c r="V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 t="n">
        <f aca="false">J451*K451</f>
        <v>0</v>
      </c>
      <c r="M451" s="2" t="str">
        <f aca="false">IF(L451&gt;=15,"Critical",IF(L451&gt;=9,"High",IF(L451&gt;=4,"Medium","Low")))</f>
        <v>Low</v>
      </c>
      <c r="N451" s="2"/>
      <c r="O451" s="2"/>
      <c r="P451" s="2"/>
      <c r="Q451" s="2"/>
      <c r="R451" s="2" t="n">
        <f aca="false">P451*Q451</f>
        <v>0</v>
      </c>
      <c r="S451" s="2" t="str">
        <f aca="false">IF(R451&gt;=15,"Critical",IF(R451&gt;=9,"High",IF(R451&gt;=4,"Medium","Low")))</f>
        <v>Low</v>
      </c>
      <c r="T451" s="2"/>
      <c r="U451" s="2"/>
      <c r="V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 t="n">
        <f aca="false">J452*K452</f>
        <v>0</v>
      </c>
      <c r="M452" s="2" t="str">
        <f aca="false">IF(L452&gt;=15,"Critical",IF(L452&gt;=9,"High",IF(L452&gt;=4,"Medium","Low")))</f>
        <v>Low</v>
      </c>
      <c r="N452" s="2"/>
      <c r="O452" s="2"/>
      <c r="P452" s="2"/>
      <c r="Q452" s="2"/>
      <c r="R452" s="2" t="n">
        <f aca="false">P452*Q452</f>
        <v>0</v>
      </c>
      <c r="S452" s="2" t="str">
        <f aca="false">IF(R452&gt;=15,"Critical",IF(R452&gt;=9,"High",IF(R452&gt;=4,"Medium","Low")))</f>
        <v>Low</v>
      </c>
      <c r="T452" s="2"/>
      <c r="U452" s="2"/>
      <c r="V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 t="n">
        <f aca="false">J453*K453</f>
        <v>0</v>
      </c>
      <c r="M453" s="2" t="str">
        <f aca="false">IF(L453&gt;=15,"Critical",IF(L453&gt;=9,"High",IF(L453&gt;=4,"Medium","Low")))</f>
        <v>Low</v>
      </c>
      <c r="N453" s="2"/>
      <c r="O453" s="2"/>
      <c r="P453" s="2"/>
      <c r="Q453" s="2"/>
      <c r="R453" s="2" t="n">
        <f aca="false">P453*Q453</f>
        <v>0</v>
      </c>
      <c r="S453" s="2" t="str">
        <f aca="false">IF(R453&gt;=15,"Critical",IF(R453&gt;=9,"High",IF(R453&gt;=4,"Medium","Low")))</f>
        <v>Low</v>
      </c>
      <c r="T453" s="2"/>
      <c r="U453" s="2"/>
      <c r="V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 t="n">
        <f aca="false">J454*K454</f>
        <v>0</v>
      </c>
      <c r="M454" s="2" t="str">
        <f aca="false">IF(L454&gt;=15,"Critical",IF(L454&gt;=9,"High",IF(L454&gt;=4,"Medium","Low")))</f>
        <v>Low</v>
      </c>
      <c r="N454" s="2"/>
      <c r="O454" s="2"/>
      <c r="P454" s="2"/>
      <c r="Q454" s="2"/>
      <c r="R454" s="2" t="n">
        <f aca="false">P454*Q454</f>
        <v>0</v>
      </c>
      <c r="S454" s="2" t="str">
        <f aca="false">IF(R454&gt;=15,"Critical",IF(R454&gt;=9,"High",IF(R454&gt;=4,"Medium","Low")))</f>
        <v>Low</v>
      </c>
      <c r="T454" s="2"/>
      <c r="U454" s="2"/>
      <c r="V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 t="n">
        <f aca="false">J455*K455</f>
        <v>0</v>
      </c>
      <c r="M455" s="2" t="str">
        <f aca="false">IF(L455&gt;=15,"Critical",IF(L455&gt;=9,"High",IF(L455&gt;=4,"Medium","Low")))</f>
        <v>Low</v>
      </c>
      <c r="N455" s="2"/>
      <c r="O455" s="2"/>
      <c r="P455" s="2"/>
      <c r="Q455" s="2"/>
      <c r="R455" s="2" t="n">
        <f aca="false">P455*Q455</f>
        <v>0</v>
      </c>
      <c r="S455" s="2" t="str">
        <f aca="false">IF(R455&gt;=15,"Critical",IF(R455&gt;=9,"High",IF(R455&gt;=4,"Medium","Low")))</f>
        <v>Low</v>
      </c>
      <c r="T455" s="2"/>
      <c r="U455" s="2"/>
      <c r="V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 t="n">
        <f aca="false">J456*K456</f>
        <v>0</v>
      </c>
      <c r="M456" s="2" t="str">
        <f aca="false">IF(L456&gt;=15,"Critical",IF(L456&gt;=9,"High",IF(L456&gt;=4,"Medium","Low")))</f>
        <v>Low</v>
      </c>
      <c r="N456" s="2"/>
      <c r="O456" s="2"/>
      <c r="P456" s="2"/>
      <c r="Q456" s="2"/>
      <c r="R456" s="2" t="n">
        <f aca="false">P456*Q456</f>
        <v>0</v>
      </c>
      <c r="S456" s="2" t="str">
        <f aca="false">IF(R456&gt;=15,"Critical",IF(R456&gt;=9,"High",IF(R456&gt;=4,"Medium","Low")))</f>
        <v>Low</v>
      </c>
      <c r="T456" s="2"/>
      <c r="U456" s="2"/>
      <c r="V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 t="n">
        <f aca="false">J457*K457</f>
        <v>0</v>
      </c>
      <c r="M457" s="2" t="str">
        <f aca="false">IF(L457&gt;=15,"Critical",IF(L457&gt;=9,"High",IF(L457&gt;=4,"Medium","Low")))</f>
        <v>Low</v>
      </c>
      <c r="N457" s="2"/>
      <c r="O457" s="2"/>
      <c r="P457" s="2"/>
      <c r="Q457" s="2"/>
      <c r="R457" s="2" t="n">
        <f aca="false">P457*Q457</f>
        <v>0</v>
      </c>
      <c r="S457" s="2" t="str">
        <f aca="false">IF(R457&gt;=15,"Critical",IF(R457&gt;=9,"High",IF(R457&gt;=4,"Medium","Low")))</f>
        <v>Low</v>
      </c>
      <c r="T457" s="2"/>
      <c r="U457" s="2"/>
      <c r="V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 t="n">
        <f aca="false">J458*K458</f>
        <v>0</v>
      </c>
      <c r="M458" s="2" t="str">
        <f aca="false">IF(L458&gt;=15,"Critical",IF(L458&gt;=9,"High",IF(L458&gt;=4,"Medium","Low")))</f>
        <v>Low</v>
      </c>
      <c r="N458" s="2"/>
      <c r="O458" s="2"/>
      <c r="P458" s="2"/>
      <c r="Q458" s="2"/>
      <c r="R458" s="2" t="n">
        <f aca="false">P458*Q458</f>
        <v>0</v>
      </c>
      <c r="S458" s="2" t="str">
        <f aca="false">IF(R458&gt;=15,"Critical",IF(R458&gt;=9,"High",IF(R458&gt;=4,"Medium","Low")))</f>
        <v>Low</v>
      </c>
      <c r="T458" s="2"/>
      <c r="U458" s="2"/>
      <c r="V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 t="n">
        <f aca="false">J459*K459</f>
        <v>0</v>
      </c>
      <c r="M459" s="2" t="str">
        <f aca="false">IF(L459&gt;=15,"Critical",IF(L459&gt;=9,"High",IF(L459&gt;=4,"Medium","Low")))</f>
        <v>Low</v>
      </c>
      <c r="N459" s="2"/>
      <c r="O459" s="2"/>
      <c r="P459" s="2"/>
      <c r="Q459" s="2"/>
      <c r="R459" s="2" t="n">
        <f aca="false">P459*Q459</f>
        <v>0</v>
      </c>
      <c r="S459" s="2" t="str">
        <f aca="false">IF(R459&gt;=15,"Critical",IF(R459&gt;=9,"High",IF(R459&gt;=4,"Medium","Low")))</f>
        <v>Low</v>
      </c>
      <c r="T459" s="2"/>
      <c r="U459" s="2"/>
      <c r="V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 t="n">
        <f aca="false">J460*K460</f>
        <v>0</v>
      </c>
      <c r="M460" s="2" t="str">
        <f aca="false">IF(L460&gt;=15,"Critical",IF(L460&gt;=9,"High",IF(L460&gt;=4,"Medium","Low")))</f>
        <v>Low</v>
      </c>
      <c r="N460" s="2"/>
      <c r="O460" s="2"/>
      <c r="P460" s="2"/>
      <c r="Q460" s="2"/>
      <c r="R460" s="2" t="n">
        <f aca="false">P460*Q460</f>
        <v>0</v>
      </c>
      <c r="S460" s="2" t="str">
        <f aca="false">IF(R460&gt;=15,"Critical",IF(R460&gt;=9,"High",IF(R460&gt;=4,"Medium","Low")))</f>
        <v>Low</v>
      </c>
      <c r="T460" s="2"/>
      <c r="U460" s="2"/>
      <c r="V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 t="n">
        <f aca="false">J461*K461</f>
        <v>0</v>
      </c>
      <c r="M461" s="2" t="str">
        <f aca="false">IF(L461&gt;=15,"Critical",IF(L461&gt;=9,"High",IF(L461&gt;=4,"Medium","Low")))</f>
        <v>Low</v>
      </c>
      <c r="N461" s="2"/>
      <c r="O461" s="2"/>
      <c r="P461" s="2"/>
      <c r="Q461" s="2"/>
      <c r="R461" s="2" t="n">
        <f aca="false">P461*Q461</f>
        <v>0</v>
      </c>
      <c r="S461" s="2" t="str">
        <f aca="false">IF(R461&gt;=15,"Critical",IF(R461&gt;=9,"High",IF(R461&gt;=4,"Medium","Low")))</f>
        <v>Low</v>
      </c>
      <c r="T461" s="2"/>
      <c r="U461" s="2"/>
      <c r="V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 t="n">
        <f aca="false">J462*K462</f>
        <v>0</v>
      </c>
      <c r="M462" s="2" t="str">
        <f aca="false">IF(L462&gt;=15,"Critical",IF(L462&gt;=9,"High",IF(L462&gt;=4,"Medium","Low")))</f>
        <v>Low</v>
      </c>
      <c r="N462" s="2"/>
      <c r="O462" s="2"/>
      <c r="P462" s="2"/>
      <c r="Q462" s="2"/>
      <c r="R462" s="2" t="n">
        <f aca="false">P462*Q462</f>
        <v>0</v>
      </c>
      <c r="S462" s="2" t="str">
        <f aca="false">IF(R462&gt;=15,"Critical",IF(R462&gt;=9,"High",IF(R462&gt;=4,"Medium","Low")))</f>
        <v>Low</v>
      </c>
      <c r="T462" s="2"/>
      <c r="U462" s="2"/>
      <c r="V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 t="n">
        <f aca="false">J463*K463</f>
        <v>0</v>
      </c>
      <c r="M463" s="2" t="str">
        <f aca="false">IF(L463&gt;=15,"Critical",IF(L463&gt;=9,"High",IF(L463&gt;=4,"Medium","Low")))</f>
        <v>Low</v>
      </c>
      <c r="N463" s="2"/>
      <c r="O463" s="2"/>
      <c r="P463" s="2"/>
      <c r="Q463" s="2"/>
      <c r="R463" s="2" t="n">
        <f aca="false">P463*Q463</f>
        <v>0</v>
      </c>
      <c r="S463" s="2" t="str">
        <f aca="false">IF(R463&gt;=15,"Critical",IF(R463&gt;=9,"High",IF(R463&gt;=4,"Medium","Low")))</f>
        <v>Low</v>
      </c>
      <c r="T463" s="2"/>
      <c r="U463" s="2"/>
      <c r="V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 t="n">
        <f aca="false">J464*K464</f>
        <v>0</v>
      </c>
      <c r="M464" s="2" t="str">
        <f aca="false">IF(L464&gt;=15,"Critical",IF(L464&gt;=9,"High",IF(L464&gt;=4,"Medium","Low")))</f>
        <v>Low</v>
      </c>
      <c r="N464" s="2"/>
      <c r="O464" s="2"/>
      <c r="P464" s="2"/>
      <c r="Q464" s="2"/>
      <c r="R464" s="2" t="n">
        <f aca="false">P464*Q464</f>
        <v>0</v>
      </c>
      <c r="S464" s="2" t="str">
        <f aca="false">IF(R464&gt;=15,"Critical",IF(R464&gt;=9,"High",IF(R464&gt;=4,"Medium","Low")))</f>
        <v>Low</v>
      </c>
      <c r="T464" s="2"/>
      <c r="U464" s="2"/>
      <c r="V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 t="n">
        <f aca="false">J465*K465</f>
        <v>0</v>
      </c>
      <c r="M465" s="2" t="str">
        <f aca="false">IF(L465&gt;=15,"Critical",IF(L465&gt;=9,"High",IF(L465&gt;=4,"Medium","Low")))</f>
        <v>Low</v>
      </c>
      <c r="N465" s="2"/>
      <c r="O465" s="2"/>
      <c r="P465" s="2"/>
      <c r="Q465" s="2"/>
      <c r="R465" s="2" t="n">
        <f aca="false">P465*Q465</f>
        <v>0</v>
      </c>
      <c r="S465" s="2" t="str">
        <f aca="false">IF(R465&gt;=15,"Critical",IF(R465&gt;=9,"High",IF(R465&gt;=4,"Medium","Low")))</f>
        <v>Low</v>
      </c>
      <c r="T465" s="2"/>
      <c r="U465" s="2"/>
      <c r="V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 t="n">
        <f aca="false">J466*K466</f>
        <v>0</v>
      </c>
      <c r="M466" s="2" t="str">
        <f aca="false">IF(L466&gt;=15,"Critical",IF(L466&gt;=9,"High",IF(L466&gt;=4,"Medium","Low")))</f>
        <v>Low</v>
      </c>
      <c r="N466" s="2"/>
      <c r="O466" s="2"/>
      <c r="P466" s="2"/>
      <c r="Q466" s="2"/>
      <c r="R466" s="2" t="n">
        <f aca="false">P466*Q466</f>
        <v>0</v>
      </c>
      <c r="S466" s="2" t="str">
        <f aca="false">IF(R466&gt;=15,"Critical",IF(R466&gt;=9,"High",IF(R466&gt;=4,"Medium","Low")))</f>
        <v>Low</v>
      </c>
      <c r="T466" s="2"/>
      <c r="U466" s="2"/>
      <c r="V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 t="n">
        <f aca="false">J467*K467</f>
        <v>0</v>
      </c>
      <c r="M467" s="2" t="str">
        <f aca="false">IF(L467&gt;=15,"Critical",IF(L467&gt;=9,"High",IF(L467&gt;=4,"Medium","Low")))</f>
        <v>Low</v>
      </c>
      <c r="N467" s="2"/>
      <c r="O467" s="2"/>
      <c r="P467" s="2"/>
      <c r="Q467" s="2"/>
      <c r="R467" s="2" t="n">
        <f aca="false">P467*Q467</f>
        <v>0</v>
      </c>
      <c r="S467" s="2" t="str">
        <f aca="false">IF(R467&gt;=15,"Critical",IF(R467&gt;=9,"High",IF(R467&gt;=4,"Medium","Low")))</f>
        <v>Low</v>
      </c>
      <c r="T467" s="2"/>
      <c r="U467" s="2"/>
      <c r="V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 t="n">
        <f aca="false">J468*K468</f>
        <v>0</v>
      </c>
      <c r="M468" s="2" t="str">
        <f aca="false">IF(L468&gt;=15,"Critical",IF(L468&gt;=9,"High",IF(L468&gt;=4,"Medium","Low")))</f>
        <v>Low</v>
      </c>
      <c r="N468" s="2"/>
      <c r="O468" s="2"/>
      <c r="P468" s="2"/>
      <c r="Q468" s="2"/>
      <c r="R468" s="2" t="n">
        <f aca="false">P468*Q468</f>
        <v>0</v>
      </c>
      <c r="S468" s="2" t="str">
        <f aca="false">IF(R468&gt;=15,"Critical",IF(R468&gt;=9,"High",IF(R468&gt;=4,"Medium","Low")))</f>
        <v>Low</v>
      </c>
      <c r="T468" s="2"/>
      <c r="U468" s="2"/>
      <c r="V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 t="n">
        <f aca="false">J469*K469</f>
        <v>0</v>
      </c>
      <c r="M469" s="2" t="str">
        <f aca="false">IF(L469&gt;=15,"Critical",IF(L469&gt;=9,"High",IF(L469&gt;=4,"Medium","Low")))</f>
        <v>Low</v>
      </c>
      <c r="N469" s="2"/>
      <c r="O469" s="2"/>
      <c r="P469" s="2"/>
      <c r="Q469" s="2"/>
      <c r="R469" s="2" t="n">
        <f aca="false">P469*Q469</f>
        <v>0</v>
      </c>
      <c r="S469" s="2" t="str">
        <f aca="false">IF(R469&gt;=15,"Critical",IF(R469&gt;=9,"High",IF(R469&gt;=4,"Medium","Low")))</f>
        <v>Low</v>
      </c>
      <c r="T469" s="2"/>
      <c r="U469" s="2"/>
      <c r="V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 t="n">
        <f aca="false">J470*K470</f>
        <v>0</v>
      </c>
      <c r="M470" s="2" t="str">
        <f aca="false">IF(L470&gt;=15,"Critical",IF(L470&gt;=9,"High",IF(L470&gt;=4,"Medium","Low")))</f>
        <v>Low</v>
      </c>
      <c r="N470" s="2"/>
      <c r="O470" s="2"/>
      <c r="P470" s="2"/>
      <c r="Q470" s="2"/>
      <c r="R470" s="2" t="n">
        <f aca="false">P470*Q470</f>
        <v>0</v>
      </c>
      <c r="S470" s="2" t="str">
        <f aca="false">IF(R470&gt;=15,"Critical",IF(R470&gt;=9,"High",IF(R470&gt;=4,"Medium","Low")))</f>
        <v>Low</v>
      </c>
      <c r="T470" s="2"/>
      <c r="U470" s="2"/>
      <c r="V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 t="n">
        <f aca="false">J471*K471</f>
        <v>0</v>
      </c>
      <c r="M471" s="2" t="str">
        <f aca="false">IF(L471&gt;=15,"Critical",IF(L471&gt;=9,"High",IF(L471&gt;=4,"Medium","Low")))</f>
        <v>Low</v>
      </c>
      <c r="N471" s="2"/>
      <c r="O471" s="2"/>
      <c r="P471" s="2"/>
      <c r="Q471" s="2"/>
      <c r="R471" s="2" t="n">
        <f aca="false">P471*Q471</f>
        <v>0</v>
      </c>
      <c r="S471" s="2" t="str">
        <f aca="false">IF(R471&gt;=15,"Critical",IF(R471&gt;=9,"High",IF(R471&gt;=4,"Medium","Low")))</f>
        <v>Low</v>
      </c>
      <c r="T471" s="2"/>
      <c r="U471" s="2"/>
      <c r="V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 t="n">
        <f aca="false">J472*K472</f>
        <v>0</v>
      </c>
      <c r="M472" s="2" t="str">
        <f aca="false">IF(L472&gt;=15,"Critical",IF(L472&gt;=9,"High",IF(L472&gt;=4,"Medium","Low")))</f>
        <v>Low</v>
      </c>
      <c r="N472" s="2"/>
      <c r="O472" s="2"/>
      <c r="P472" s="2"/>
      <c r="Q472" s="2"/>
      <c r="R472" s="2" t="n">
        <f aca="false">P472*Q472</f>
        <v>0</v>
      </c>
      <c r="S472" s="2" t="str">
        <f aca="false">IF(R472&gt;=15,"Critical",IF(R472&gt;=9,"High",IF(R472&gt;=4,"Medium","Low")))</f>
        <v>Low</v>
      </c>
      <c r="T472" s="2"/>
      <c r="U472" s="2"/>
      <c r="V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 t="n">
        <f aca="false">J473*K473</f>
        <v>0</v>
      </c>
      <c r="M473" s="2" t="str">
        <f aca="false">IF(L473&gt;=15,"Critical",IF(L473&gt;=9,"High",IF(L473&gt;=4,"Medium","Low")))</f>
        <v>Low</v>
      </c>
      <c r="N473" s="2"/>
      <c r="O473" s="2"/>
      <c r="P473" s="2"/>
      <c r="Q473" s="2"/>
      <c r="R473" s="2" t="n">
        <f aca="false">P473*Q473</f>
        <v>0</v>
      </c>
      <c r="S473" s="2" t="str">
        <f aca="false">IF(R473&gt;=15,"Critical",IF(R473&gt;=9,"High",IF(R473&gt;=4,"Medium","Low")))</f>
        <v>Low</v>
      </c>
      <c r="T473" s="2"/>
      <c r="U473" s="2"/>
      <c r="V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 t="n">
        <f aca="false">J474*K474</f>
        <v>0</v>
      </c>
      <c r="M474" s="2" t="str">
        <f aca="false">IF(L474&gt;=15,"Critical",IF(L474&gt;=9,"High",IF(L474&gt;=4,"Medium","Low")))</f>
        <v>Low</v>
      </c>
      <c r="N474" s="2"/>
      <c r="O474" s="2"/>
      <c r="P474" s="2"/>
      <c r="Q474" s="2"/>
      <c r="R474" s="2" t="n">
        <f aca="false">P474*Q474</f>
        <v>0</v>
      </c>
      <c r="S474" s="2" t="str">
        <f aca="false">IF(R474&gt;=15,"Critical",IF(R474&gt;=9,"High",IF(R474&gt;=4,"Medium","Low")))</f>
        <v>Low</v>
      </c>
      <c r="T474" s="2"/>
      <c r="U474" s="2"/>
      <c r="V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 t="n">
        <f aca="false">J475*K475</f>
        <v>0</v>
      </c>
      <c r="M475" s="2" t="str">
        <f aca="false">IF(L475&gt;=15,"Critical",IF(L475&gt;=9,"High",IF(L475&gt;=4,"Medium","Low")))</f>
        <v>Low</v>
      </c>
      <c r="N475" s="2"/>
      <c r="O475" s="2"/>
      <c r="P475" s="2"/>
      <c r="Q475" s="2"/>
      <c r="R475" s="2" t="n">
        <f aca="false">P475*Q475</f>
        <v>0</v>
      </c>
      <c r="S475" s="2" t="str">
        <f aca="false">IF(R475&gt;=15,"Critical",IF(R475&gt;=9,"High",IF(R475&gt;=4,"Medium","Low")))</f>
        <v>Low</v>
      </c>
      <c r="T475" s="2"/>
      <c r="U475" s="2"/>
      <c r="V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 t="n">
        <f aca="false">J476*K476</f>
        <v>0</v>
      </c>
      <c r="M476" s="2" t="str">
        <f aca="false">IF(L476&gt;=15,"Critical",IF(L476&gt;=9,"High",IF(L476&gt;=4,"Medium","Low")))</f>
        <v>Low</v>
      </c>
      <c r="N476" s="2"/>
      <c r="O476" s="2"/>
      <c r="P476" s="2"/>
      <c r="Q476" s="2"/>
      <c r="R476" s="2" t="n">
        <f aca="false">P476*Q476</f>
        <v>0</v>
      </c>
      <c r="S476" s="2" t="str">
        <f aca="false">IF(R476&gt;=15,"Critical",IF(R476&gt;=9,"High",IF(R476&gt;=4,"Medium","Low")))</f>
        <v>Low</v>
      </c>
      <c r="T476" s="2"/>
      <c r="U476" s="2"/>
      <c r="V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 t="n">
        <f aca="false">J477*K477</f>
        <v>0</v>
      </c>
      <c r="M477" s="2" t="str">
        <f aca="false">IF(L477&gt;=15,"Critical",IF(L477&gt;=9,"High",IF(L477&gt;=4,"Medium","Low")))</f>
        <v>Low</v>
      </c>
      <c r="N477" s="2"/>
      <c r="O477" s="2"/>
      <c r="P477" s="2"/>
      <c r="Q477" s="2"/>
      <c r="R477" s="2" t="n">
        <f aca="false">P477*Q477</f>
        <v>0</v>
      </c>
      <c r="S477" s="2" t="str">
        <f aca="false">IF(R477&gt;=15,"Critical",IF(R477&gt;=9,"High",IF(R477&gt;=4,"Medium","Low")))</f>
        <v>Low</v>
      </c>
      <c r="T477" s="2"/>
      <c r="U477" s="2"/>
      <c r="V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 t="n">
        <f aca="false">J478*K478</f>
        <v>0</v>
      </c>
      <c r="M478" s="2" t="str">
        <f aca="false">IF(L478&gt;=15,"Critical",IF(L478&gt;=9,"High",IF(L478&gt;=4,"Medium","Low")))</f>
        <v>Low</v>
      </c>
      <c r="N478" s="2"/>
      <c r="O478" s="2"/>
      <c r="P478" s="2"/>
      <c r="Q478" s="2"/>
      <c r="R478" s="2" t="n">
        <f aca="false">P478*Q478</f>
        <v>0</v>
      </c>
      <c r="S478" s="2" t="str">
        <f aca="false">IF(R478&gt;=15,"Critical",IF(R478&gt;=9,"High",IF(R478&gt;=4,"Medium","Low")))</f>
        <v>Low</v>
      </c>
      <c r="T478" s="2"/>
      <c r="U478" s="2"/>
      <c r="V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 t="n">
        <f aca="false">J479*K479</f>
        <v>0</v>
      </c>
      <c r="M479" s="2" t="str">
        <f aca="false">IF(L479&gt;=15,"Critical",IF(L479&gt;=9,"High",IF(L479&gt;=4,"Medium","Low")))</f>
        <v>Low</v>
      </c>
      <c r="N479" s="2"/>
      <c r="O479" s="2"/>
      <c r="P479" s="2"/>
      <c r="Q479" s="2"/>
      <c r="R479" s="2" t="n">
        <f aca="false">P479*Q479</f>
        <v>0</v>
      </c>
      <c r="S479" s="2" t="str">
        <f aca="false">IF(R479&gt;=15,"Critical",IF(R479&gt;=9,"High",IF(R479&gt;=4,"Medium","Low")))</f>
        <v>Low</v>
      </c>
      <c r="T479" s="2"/>
      <c r="U479" s="2"/>
      <c r="V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 t="n">
        <f aca="false">J480*K480</f>
        <v>0</v>
      </c>
      <c r="M480" s="2" t="str">
        <f aca="false">IF(L480&gt;=15,"Critical",IF(L480&gt;=9,"High",IF(L480&gt;=4,"Medium","Low")))</f>
        <v>Low</v>
      </c>
      <c r="N480" s="2"/>
      <c r="O480" s="2"/>
      <c r="P480" s="2"/>
      <c r="Q480" s="2"/>
      <c r="R480" s="2" t="n">
        <f aca="false">P480*Q480</f>
        <v>0</v>
      </c>
      <c r="S480" s="2" t="str">
        <f aca="false">IF(R480&gt;=15,"Critical",IF(R480&gt;=9,"High",IF(R480&gt;=4,"Medium","Low")))</f>
        <v>Low</v>
      </c>
      <c r="T480" s="2"/>
      <c r="U480" s="2"/>
      <c r="V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 t="n">
        <f aca="false">J481*K481</f>
        <v>0</v>
      </c>
      <c r="M481" s="2" t="str">
        <f aca="false">IF(L481&gt;=15,"Critical",IF(L481&gt;=9,"High",IF(L481&gt;=4,"Medium","Low")))</f>
        <v>Low</v>
      </c>
      <c r="N481" s="2"/>
      <c r="O481" s="2"/>
      <c r="P481" s="2"/>
      <c r="Q481" s="2"/>
      <c r="R481" s="2" t="n">
        <f aca="false">P481*Q481</f>
        <v>0</v>
      </c>
      <c r="S481" s="2" t="str">
        <f aca="false">IF(R481&gt;=15,"Critical",IF(R481&gt;=9,"High",IF(R481&gt;=4,"Medium","Low")))</f>
        <v>Low</v>
      </c>
      <c r="T481" s="2"/>
      <c r="U481" s="2"/>
      <c r="V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 t="n">
        <f aca="false">J482*K482</f>
        <v>0</v>
      </c>
      <c r="M482" s="2" t="str">
        <f aca="false">IF(L482&gt;=15,"Critical",IF(L482&gt;=9,"High",IF(L482&gt;=4,"Medium","Low")))</f>
        <v>Low</v>
      </c>
      <c r="N482" s="2"/>
      <c r="O482" s="2"/>
      <c r="P482" s="2"/>
      <c r="Q482" s="2"/>
      <c r="R482" s="2" t="n">
        <f aca="false">P482*Q482</f>
        <v>0</v>
      </c>
      <c r="S482" s="2" t="str">
        <f aca="false">IF(R482&gt;=15,"Critical",IF(R482&gt;=9,"High",IF(R482&gt;=4,"Medium","Low")))</f>
        <v>Low</v>
      </c>
      <c r="T482" s="2"/>
      <c r="U482" s="2"/>
      <c r="V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 t="n">
        <f aca="false">J483*K483</f>
        <v>0</v>
      </c>
      <c r="M483" s="2" t="str">
        <f aca="false">IF(L483&gt;=15,"Critical",IF(L483&gt;=9,"High",IF(L483&gt;=4,"Medium","Low")))</f>
        <v>Low</v>
      </c>
      <c r="N483" s="2"/>
      <c r="O483" s="2"/>
      <c r="P483" s="2"/>
      <c r="Q483" s="2"/>
      <c r="R483" s="2" t="n">
        <f aca="false">P483*Q483</f>
        <v>0</v>
      </c>
      <c r="S483" s="2" t="str">
        <f aca="false">IF(R483&gt;=15,"Critical",IF(R483&gt;=9,"High",IF(R483&gt;=4,"Medium","Low")))</f>
        <v>Low</v>
      </c>
      <c r="T483" s="2"/>
      <c r="U483" s="2"/>
      <c r="V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 t="n">
        <f aca="false">J484*K484</f>
        <v>0</v>
      </c>
      <c r="M484" s="2" t="str">
        <f aca="false">IF(L484&gt;=15,"Critical",IF(L484&gt;=9,"High",IF(L484&gt;=4,"Medium","Low")))</f>
        <v>Low</v>
      </c>
      <c r="N484" s="2"/>
      <c r="O484" s="2"/>
      <c r="P484" s="2"/>
      <c r="Q484" s="2"/>
      <c r="R484" s="2" t="n">
        <f aca="false">P484*Q484</f>
        <v>0</v>
      </c>
      <c r="S484" s="2" t="str">
        <f aca="false">IF(R484&gt;=15,"Critical",IF(R484&gt;=9,"High",IF(R484&gt;=4,"Medium","Low")))</f>
        <v>Low</v>
      </c>
      <c r="T484" s="2"/>
      <c r="U484" s="2"/>
      <c r="V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 t="n">
        <f aca="false">J485*K485</f>
        <v>0</v>
      </c>
      <c r="M485" s="2" t="str">
        <f aca="false">IF(L485&gt;=15,"Critical",IF(L485&gt;=9,"High",IF(L485&gt;=4,"Medium","Low")))</f>
        <v>Low</v>
      </c>
      <c r="N485" s="2"/>
      <c r="O485" s="2"/>
      <c r="P485" s="2"/>
      <c r="Q485" s="2"/>
      <c r="R485" s="2" t="n">
        <f aca="false">P485*Q485</f>
        <v>0</v>
      </c>
      <c r="S485" s="2" t="str">
        <f aca="false">IF(R485&gt;=15,"Critical",IF(R485&gt;=9,"High",IF(R485&gt;=4,"Medium","Low")))</f>
        <v>Low</v>
      </c>
      <c r="T485" s="2"/>
      <c r="U485" s="2"/>
      <c r="V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 t="n">
        <f aca="false">J486*K486</f>
        <v>0</v>
      </c>
      <c r="M486" s="2" t="str">
        <f aca="false">IF(L486&gt;=15,"Critical",IF(L486&gt;=9,"High",IF(L486&gt;=4,"Medium","Low")))</f>
        <v>Low</v>
      </c>
      <c r="N486" s="2"/>
      <c r="O486" s="2"/>
      <c r="P486" s="2"/>
      <c r="Q486" s="2"/>
      <c r="R486" s="2" t="n">
        <f aca="false">P486*Q486</f>
        <v>0</v>
      </c>
      <c r="S486" s="2" t="str">
        <f aca="false">IF(R486&gt;=15,"Critical",IF(R486&gt;=9,"High",IF(R486&gt;=4,"Medium","Low")))</f>
        <v>Low</v>
      </c>
      <c r="T486" s="2"/>
      <c r="U486" s="2"/>
      <c r="V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 t="n">
        <f aca="false">J487*K487</f>
        <v>0</v>
      </c>
      <c r="M487" s="2" t="str">
        <f aca="false">IF(L487&gt;=15,"Critical",IF(L487&gt;=9,"High",IF(L487&gt;=4,"Medium","Low")))</f>
        <v>Low</v>
      </c>
      <c r="N487" s="2"/>
      <c r="O487" s="2"/>
      <c r="P487" s="2"/>
      <c r="Q487" s="2"/>
      <c r="R487" s="2" t="n">
        <f aca="false">P487*Q487</f>
        <v>0</v>
      </c>
      <c r="S487" s="2" t="str">
        <f aca="false">IF(R487&gt;=15,"Critical",IF(R487&gt;=9,"High",IF(R487&gt;=4,"Medium","Low")))</f>
        <v>Low</v>
      </c>
      <c r="T487" s="2"/>
      <c r="U487" s="2"/>
      <c r="V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 t="n">
        <f aca="false">J488*K488</f>
        <v>0</v>
      </c>
      <c r="M488" s="2" t="str">
        <f aca="false">IF(L488&gt;=15,"Critical",IF(L488&gt;=9,"High",IF(L488&gt;=4,"Medium","Low")))</f>
        <v>Low</v>
      </c>
      <c r="N488" s="2"/>
      <c r="O488" s="2"/>
      <c r="P488" s="2"/>
      <c r="Q488" s="2"/>
      <c r="R488" s="2" t="n">
        <f aca="false">P488*Q488</f>
        <v>0</v>
      </c>
      <c r="S488" s="2" t="str">
        <f aca="false">IF(R488&gt;=15,"Critical",IF(R488&gt;=9,"High",IF(R488&gt;=4,"Medium","Low")))</f>
        <v>Low</v>
      </c>
      <c r="T488" s="2"/>
      <c r="U488" s="2"/>
      <c r="V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 t="n">
        <f aca="false">J489*K489</f>
        <v>0</v>
      </c>
      <c r="M489" s="2" t="str">
        <f aca="false">IF(L489&gt;=15,"Critical",IF(L489&gt;=9,"High",IF(L489&gt;=4,"Medium","Low")))</f>
        <v>Low</v>
      </c>
      <c r="N489" s="2"/>
      <c r="O489" s="2"/>
      <c r="P489" s="2"/>
      <c r="Q489" s="2"/>
      <c r="R489" s="2" t="n">
        <f aca="false">P489*Q489</f>
        <v>0</v>
      </c>
      <c r="S489" s="2" t="str">
        <f aca="false">IF(R489&gt;=15,"Critical",IF(R489&gt;=9,"High",IF(R489&gt;=4,"Medium","Low")))</f>
        <v>Low</v>
      </c>
      <c r="T489" s="2"/>
      <c r="U489" s="2"/>
      <c r="V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 t="n">
        <f aca="false">J490*K490</f>
        <v>0</v>
      </c>
      <c r="M490" s="2" t="str">
        <f aca="false">IF(L490&gt;=15,"Critical",IF(L490&gt;=9,"High",IF(L490&gt;=4,"Medium","Low")))</f>
        <v>Low</v>
      </c>
      <c r="N490" s="2"/>
      <c r="O490" s="2"/>
      <c r="P490" s="2"/>
      <c r="Q490" s="2"/>
      <c r="R490" s="2" t="n">
        <f aca="false">P490*Q490</f>
        <v>0</v>
      </c>
      <c r="S490" s="2" t="str">
        <f aca="false">IF(R490&gt;=15,"Critical",IF(R490&gt;=9,"High",IF(R490&gt;=4,"Medium","Low")))</f>
        <v>Low</v>
      </c>
      <c r="T490" s="2"/>
      <c r="U490" s="2"/>
      <c r="V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 t="n">
        <f aca="false">J491*K491</f>
        <v>0</v>
      </c>
      <c r="M491" s="2" t="str">
        <f aca="false">IF(L491&gt;=15,"Critical",IF(L491&gt;=9,"High",IF(L491&gt;=4,"Medium","Low")))</f>
        <v>Low</v>
      </c>
      <c r="N491" s="2"/>
      <c r="O491" s="2"/>
      <c r="P491" s="2"/>
      <c r="Q491" s="2"/>
      <c r="R491" s="2" t="n">
        <f aca="false">P491*Q491</f>
        <v>0</v>
      </c>
      <c r="S491" s="2" t="str">
        <f aca="false">IF(R491&gt;=15,"Critical",IF(R491&gt;=9,"High",IF(R491&gt;=4,"Medium","Low")))</f>
        <v>Low</v>
      </c>
      <c r="T491" s="2"/>
      <c r="U491" s="2"/>
      <c r="V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 t="n">
        <f aca="false">J492*K492</f>
        <v>0</v>
      </c>
      <c r="M492" s="2" t="str">
        <f aca="false">IF(L492&gt;=15,"Critical",IF(L492&gt;=9,"High",IF(L492&gt;=4,"Medium","Low")))</f>
        <v>Low</v>
      </c>
      <c r="N492" s="2"/>
      <c r="O492" s="2"/>
      <c r="P492" s="2"/>
      <c r="Q492" s="2"/>
      <c r="R492" s="2" t="n">
        <f aca="false">P492*Q492</f>
        <v>0</v>
      </c>
      <c r="S492" s="2" t="str">
        <f aca="false">IF(R492&gt;=15,"Critical",IF(R492&gt;=9,"High",IF(R492&gt;=4,"Medium","Low")))</f>
        <v>Low</v>
      </c>
      <c r="T492" s="2"/>
      <c r="U492" s="2"/>
      <c r="V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 t="n">
        <f aca="false">J493*K493</f>
        <v>0</v>
      </c>
      <c r="M493" s="2" t="str">
        <f aca="false">IF(L493&gt;=15,"Critical",IF(L493&gt;=9,"High",IF(L493&gt;=4,"Medium","Low")))</f>
        <v>Low</v>
      </c>
      <c r="N493" s="2"/>
      <c r="O493" s="2"/>
      <c r="P493" s="2"/>
      <c r="Q493" s="2"/>
      <c r="R493" s="2" t="n">
        <f aca="false">P493*Q493</f>
        <v>0</v>
      </c>
      <c r="S493" s="2" t="str">
        <f aca="false">IF(R493&gt;=15,"Critical",IF(R493&gt;=9,"High",IF(R493&gt;=4,"Medium","Low")))</f>
        <v>Low</v>
      </c>
      <c r="T493" s="2"/>
      <c r="U493" s="2"/>
      <c r="V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 t="n">
        <f aca="false">J494*K494</f>
        <v>0</v>
      </c>
      <c r="M494" s="2" t="str">
        <f aca="false">IF(L494&gt;=15,"Critical",IF(L494&gt;=9,"High",IF(L494&gt;=4,"Medium","Low")))</f>
        <v>Low</v>
      </c>
      <c r="N494" s="2"/>
      <c r="O494" s="2"/>
      <c r="P494" s="2"/>
      <c r="Q494" s="2"/>
      <c r="R494" s="2" t="n">
        <f aca="false">P494*Q494</f>
        <v>0</v>
      </c>
      <c r="S494" s="2" t="str">
        <f aca="false">IF(R494&gt;=15,"Critical",IF(R494&gt;=9,"High",IF(R494&gt;=4,"Medium","Low")))</f>
        <v>Low</v>
      </c>
      <c r="T494" s="2"/>
      <c r="U494" s="2"/>
      <c r="V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 t="n">
        <f aca="false">J495*K495</f>
        <v>0</v>
      </c>
      <c r="M495" s="2" t="str">
        <f aca="false">IF(L495&gt;=15,"Critical",IF(L495&gt;=9,"High",IF(L495&gt;=4,"Medium","Low")))</f>
        <v>Low</v>
      </c>
      <c r="N495" s="2"/>
      <c r="O495" s="2"/>
      <c r="P495" s="2"/>
      <c r="Q495" s="2"/>
      <c r="R495" s="2" t="n">
        <f aca="false">P495*Q495</f>
        <v>0</v>
      </c>
      <c r="S495" s="2" t="str">
        <f aca="false">IF(R495&gt;=15,"Critical",IF(R495&gt;=9,"High",IF(R495&gt;=4,"Medium","Low")))</f>
        <v>Low</v>
      </c>
      <c r="T495" s="2"/>
      <c r="U495" s="2"/>
      <c r="V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 t="n">
        <f aca="false">J496*K496</f>
        <v>0</v>
      </c>
      <c r="M496" s="2" t="str">
        <f aca="false">IF(L496&gt;=15,"Critical",IF(L496&gt;=9,"High",IF(L496&gt;=4,"Medium","Low")))</f>
        <v>Low</v>
      </c>
      <c r="N496" s="2"/>
      <c r="O496" s="2"/>
      <c r="P496" s="2"/>
      <c r="Q496" s="2"/>
      <c r="R496" s="2" t="n">
        <f aca="false">P496*Q496</f>
        <v>0</v>
      </c>
      <c r="S496" s="2" t="str">
        <f aca="false">IF(R496&gt;=15,"Critical",IF(R496&gt;=9,"High",IF(R496&gt;=4,"Medium","Low")))</f>
        <v>Low</v>
      </c>
      <c r="T496" s="2"/>
      <c r="U496" s="2"/>
      <c r="V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 t="n">
        <f aca="false">J497*K497</f>
        <v>0</v>
      </c>
      <c r="M497" s="2" t="str">
        <f aca="false">IF(L497&gt;=15,"Critical",IF(L497&gt;=9,"High",IF(L497&gt;=4,"Medium","Low")))</f>
        <v>Low</v>
      </c>
      <c r="N497" s="2"/>
      <c r="O497" s="2"/>
      <c r="P497" s="2"/>
      <c r="Q497" s="2"/>
      <c r="R497" s="2" t="n">
        <f aca="false">P497*Q497</f>
        <v>0</v>
      </c>
      <c r="S497" s="2" t="str">
        <f aca="false">IF(R497&gt;=15,"Critical",IF(R497&gt;=9,"High",IF(R497&gt;=4,"Medium","Low")))</f>
        <v>Low</v>
      </c>
      <c r="T497" s="2"/>
      <c r="U497" s="2"/>
      <c r="V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 t="n">
        <f aca="false">J498*K498</f>
        <v>0</v>
      </c>
      <c r="M498" s="2" t="str">
        <f aca="false">IF(L498&gt;=15,"Critical",IF(L498&gt;=9,"High",IF(L498&gt;=4,"Medium","Low")))</f>
        <v>Low</v>
      </c>
      <c r="N498" s="2"/>
      <c r="O498" s="2"/>
      <c r="P498" s="2"/>
      <c r="Q498" s="2"/>
      <c r="R498" s="2" t="n">
        <f aca="false">P498*Q498</f>
        <v>0</v>
      </c>
      <c r="S498" s="2" t="str">
        <f aca="false">IF(R498&gt;=15,"Critical",IF(R498&gt;=9,"High",IF(R498&gt;=4,"Medium","Low")))</f>
        <v>Low</v>
      </c>
      <c r="T498" s="2"/>
      <c r="U498" s="2"/>
      <c r="V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 t="n">
        <f aca="false">J499*K499</f>
        <v>0</v>
      </c>
      <c r="M499" s="2" t="str">
        <f aca="false">IF(L499&gt;=15,"Critical",IF(L499&gt;=9,"High",IF(L499&gt;=4,"Medium","Low")))</f>
        <v>Low</v>
      </c>
      <c r="N499" s="2"/>
      <c r="O499" s="2"/>
      <c r="P499" s="2"/>
      <c r="Q499" s="2"/>
      <c r="R499" s="2" t="n">
        <f aca="false">P499*Q499</f>
        <v>0</v>
      </c>
      <c r="S499" s="2" t="str">
        <f aca="false">IF(R499&gt;=15,"Critical",IF(R499&gt;=9,"High",IF(R499&gt;=4,"Medium","Low")))</f>
        <v>Low</v>
      </c>
      <c r="T499" s="2"/>
      <c r="U499" s="2"/>
      <c r="V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 t="n">
        <f aca="false">J500*K500</f>
        <v>0</v>
      </c>
      <c r="M500" s="2" t="str">
        <f aca="false">IF(L500&gt;=15,"Critical",IF(L500&gt;=9,"High",IF(L500&gt;=4,"Medium","Low")))</f>
        <v>Low</v>
      </c>
      <c r="N500" s="2"/>
      <c r="O500" s="2"/>
      <c r="P500" s="2"/>
      <c r="Q500" s="2"/>
      <c r="R500" s="2" t="n">
        <f aca="false">P500*Q500</f>
        <v>0</v>
      </c>
      <c r="S500" s="2" t="str">
        <f aca="false">IF(R500&gt;=15,"Critical",IF(R500&gt;=9,"High",IF(R500&gt;=4,"Medium","Low")))</f>
        <v>Low</v>
      </c>
      <c r="T500" s="2"/>
      <c r="U500" s="2"/>
      <c r="V500" s="2"/>
    </row>
  </sheetData>
  <conditionalFormatting sqref="M2:M500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S2:S500">
    <cfRule type="cellIs" priority="6" operator="equal" aboveAverage="0" equalAverage="0" bottom="0" percent="0" rank="0" text="" dxfId="0">
      <formula>"Critical"</formula>
    </cfRule>
    <cfRule type="cellIs" priority="7" operator="equal" aboveAverage="0" equalAverage="0" bottom="0" percent="0" rank="0" text="" dxfId="1">
      <formula>"High"</formula>
    </cfRule>
    <cfRule type="cellIs" priority="8" operator="equal" aboveAverage="0" equalAverage="0" bottom="0" percent="0" rank="0" text="" dxfId="2">
      <formula>"Medium"</formula>
    </cfRule>
    <cfRule type="cellIs" priority="9" operator="equal" aboveAverage="0" equalAverage="0" bottom="0" percent="0" rank="0" text="" dxfId="3">
      <formula>"Low"</formula>
    </cfRule>
  </conditionalFormatting>
  <conditionalFormatting sqref="V2:V500">
    <cfRule type="expression" priority="10" aboveAverage="0" equalAverage="0" bottom="0" percent="0" rank="0" text="" dxfId="4">
      <formula>AND($V2&lt;&gt;"",$V2&lt;TODAY(),$U2&lt;&gt;"Closed",$U2&lt;&gt;"Mitigated")</formula>
    </cfRule>
  </conditionalFormatting>
  <dataValidations count="3">
    <dataValidation allowBlank="true" errorStyle="stop" operator="between" showDropDown="false" showErrorMessage="false" showInputMessage="false" sqref="J2:K500 P2:Q500" type="list">
      <formula1>"1,2,3,4,5"</formula1>
      <formula2>0</formula2>
    </dataValidation>
    <dataValidation allowBlank="true" errorStyle="stop" operator="between" showDropDown="false" showErrorMessage="false" showInputMessage="false" sqref="D2:F500" type="list">
      <formula1>"High,Medium,Low"</formula1>
      <formula2>0</formula2>
    </dataValidation>
    <dataValidation allowBlank="true" errorStyle="stop" operator="between" showDropDown="false" showErrorMessage="false" showInputMessage="false" sqref="U2:U500" type="list">
      <formula1>"Open,In Progress,Mitigated,Accepted,Closed"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7.35" hidden="false" customHeight="false" outlineLevel="0" collapsed="false">
      <c r="A1" s="3" t="s">
        <v>162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163</v>
      </c>
    </row>
    <row r="4" customFormat="false" ht="15" hidden="false" customHeight="false" outlineLevel="0" collapsed="false">
      <c r="A4" s="4" t="s">
        <v>164</v>
      </c>
    </row>
    <row r="5" customFormat="false" ht="15" hidden="false" customHeight="false" outlineLevel="0" collapsed="false">
      <c r="A5" s="4"/>
    </row>
    <row r="6" customFormat="false" ht="15" hidden="false" customHeight="false" outlineLevel="0" collapsed="false">
      <c r="A6" s="5" t="s">
        <v>165</v>
      </c>
    </row>
    <row r="7" customFormat="false" ht="15" hidden="false" customHeight="false" outlineLevel="0" collapsed="false">
      <c r="A7" s="4" t="s">
        <v>166</v>
      </c>
    </row>
    <row r="8" customFormat="false" ht="15" hidden="false" customHeight="false" outlineLevel="0" collapsed="false">
      <c r="A8" s="4" t="s">
        <v>167</v>
      </c>
    </row>
    <row r="9" customFormat="false" ht="15" hidden="false" customHeight="false" outlineLevel="0" collapsed="false">
      <c r="A9" s="4" t="s">
        <v>168</v>
      </c>
    </row>
    <row r="10" customFormat="false" ht="15" hidden="false" customHeight="false" outlineLevel="0" collapsed="false">
      <c r="A10" s="4" t="s">
        <v>169</v>
      </c>
    </row>
    <row r="11" customFormat="false" ht="15" hidden="false" customHeight="false" outlineLevel="0" collapsed="false">
      <c r="A11" s="4" t="s">
        <v>170</v>
      </c>
    </row>
    <row r="12" customFormat="false" ht="15" hidden="false" customHeight="false" outlineLevel="0" collapsed="false">
      <c r="A12" s="4" t="s">
        <v>171</v>
      </c>
    </row>
    <row r="13" customFormat="false" ht="15" hidden="false" customHeight="false" outlineLevel="0" collapsed="false">
      <c r="A13" s="4" t="s">
        <v>172</v>
      </c>
    </row>
    <row r="14" customFormat="false" ht="15" hidden="false" customHeight="false" outlineLevel="0" collapsed="false">
      <c r="A14" s="4" t="s">
        <v>173</v>
      </c>
    </row>
    <row r="15" customFormat="false" ht="15" hidden="false" customHeight="false" outlineLevel="0" collapsed="false">
      <c r="A15" s="4" t="s">
        <v>174</v>
      </c>
    </row>
    <row r="16" customFormat="false" ht="15" hidden="false" customHeight="false" outlineLevel="0" collapsed="false">
      <c r="A16" s="4" t="s">
        <v>175</v>
      </c>
    </row>
    <row r="17" customFormat="false" ht="15" hidden="false" customHeight="false" outlineLevel="0" collapsed="false">
      <c r="A17" s="4" t="s">
        <v>176</v>
      </c>
    </row>
    <row r="18" customFormat="false" ht="15" hidden="false" customHeight="false" outlineLevel="0" collapsed="false">
      <c r="A18" s="4" t="s">
        <v>177</v>
      </c>
    </row>
    <row r="19" customFormat="false" ht="15" hidden="false" customHeight="false" outlineLevel="0" collapsed="false">
      <c r="A19" s="4" t="s">
        <v>178</v>
      </c>
    </row>
    <row r="20" customFormat="false" ht="15" hidden="false" customHeight="false" outlineLevel="0" collapsed="false">
      <c r="A20" s="4" t="s">
        <v>179</v>
      </c>
    </row>
    <row r="21" customFormat="false" ht="15" hidden="false" customHeight="false" outlineLevel="0" collapsed="false">
      <c r="A21" s="4" t="s">
        <v>180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5" t="s">
        <v>181</v>
      </c>
    </row>
    <row r="24" customFormat="false" ht="15" hidden="false" customHeight="false" outlineLevel="0" collapsed="false">
      <c r="A24" s="4" t="s">
        <v>182</v>
      </c>
    </row>
    <row r="25" customFormat="false" ht="15" hidden="false" customHeight="false" outlineLevel="0" collapsed="false">
      <c r="A25" s="4" t="s">
        <v>183</v>
      </c>
    </row>
    <row r="26" customFormat="false" ht="15" hidden="false" customHeight="false" outlineLevel="0" collapsed="false">
      <c r="A26" s="4" t="s">
        <v>184</v>
      </c>
    </row>
    <row r="27" customFormat="false" ht="15" hidden="false" customHeight="false" outlineLevel="0" collapsed="false">
      <c r="A27" s="4" t="s">
        <v>185</v>
      </c>
    </row>
    <row r="28" customFormat="false" ht="15" hidden="false" customHeight="false" outlineLevel="0" collapsed="false">
      <c r="A28" s="4" t="s">
        <v>186</v>
      </c>
    </row>
    <row r="29" customFormat="false" ht="15" hidden="false" customHeight="false" outlineLevel="0" collapsed="false">
      <c r="A29" s="4" t="s">
        <v>187</v>
      </c>
    </row>
    <row r="30" customFormat="false" ht="15" hidden="false" customHeight="false" outlineLevel="0" collapsed="false">
      <c r="A30" s="4" t="s">
        <v>188</v>
      </c>
    </row>
    <row r="31" customFormat="false" ht="15" hidden="false" customHeight="false" outlineLevel="0" collapsed="false">
      <c r="A31" s="4" t="s">
        <v>189</v>
      </c>
    </row>
    <row r="32" customFormat="false" ht="15" hidden="false" customHeight="false" outlineLevel="0" collapsed="false">
      <c r="A32" s="4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6" t="s">
        <v>191</v>
      </c>
    </row>
    <row r="3" customFormat="false" ht="15" hidden="false" customHeight="false" outlineLevel="0" collapsed="false">
      <c r="A3" s="5" t="s">
        <v>192</v>
      </c>
    </row>
    <row r="4" customFormat="false" ht="15" hidden="false" customHeight="false" outlineLevel="0" collapsed="false">
      <c r="A4" s="7" t="s">
        <v>12</v>
      </c>
      <c r="B4" s="7" t="s">
        <v>193</v>
      </c>
    </row>
    <row r="5" customFormat="false" ht="15" hidden="false" customHeight="false" outlineLevel="0" collapsed="false">
      <c r="A5" s="0" t="s">
        <v>194</v>
      </c>
      <c r="B5" s="0" t="n">
        <f aca="false">COUNTIFS('Risk Register'!M:M,"Critical",'Risk Register'!G:G,"&lt;&gt;")</f>
        <v>5</v>
      </c>
    </row>
    <row r="6" customFormat="false" ht="15" hidden="false" customHeight="false" outlineLevel="0" collapsed="false">
      <c r="A6" s="0" t="s">
        <v>25</v>
      </c>
      <c r="B6" s="0" t="n">
        <f aca="false">COUNTIFS('Risk Register'!M:M,"High",'Risk Register'!G:G,"&lt;&gt;")</f>
        <v>7</v>
      </c>
    </row>
    <row r="7" customFormat="false" ht="15" hidden="false" customHeight="false" outlineLevel="0" collapsed="false">
      <c r="A7" s="0" t="s">
        <v>26</v>
      </c>
      <c r="B7" s="0" t="n">
        <f aca="false">COUNTIFS('Risk Register'!M:M,"Medium",'Risk Register'!G:G,"&lt;&gt;")</f>
        <v>3</v>
      </c>
    </row>
    <row r="8" customFormat="false" ht="15" hidden="false" customHeight="false" outlineLevel="0" collapsed="false">
      <c r="A8" s="0" t="s">
        <v>94</v>
      </c>
      <c r="B8" s="0" t="n">
        <f aca="false">COUNTIFS('Risk Register'!M:M,"Low",'Risk Register'!G:G,"&lt;&gt;")</f>
        <v>0</v>
      </c>
    </row>
    <row r="10" customFormat="false" ht="15" hidden="false" customHeight="false" outlineLevel="0" collapsed="false">
      <c r="A10" s="5" t="s">
        <v>195</v>
      </c>
    </row>
    <row r="11" customFormat="false" ht="15" hidden="false" customHeight="false" outlineLevel="0" collapsed="false">
      <c r="A11" s="7" t="s">
        <v>20</v>
      </c>
      <c r="B11" s="7" t="s">
        <v>193</v>
      </c>
    </row>
    <row r="12" customFormat="false" ht="15" hidden="false" customHeight="false" outlineLevel="0" collapsed="false">
      <c r="A12" s="0" t="s">
        <v>43</v>
      </c>
      <c r="B12" s="0" t="n">
        <f aca="false">COUNTIFS('Risk Register'!U:U,"Open",'Risk Register'!G:G,"&lt;&gt;")</f>
        <v>9</v>
      </c>
    </row>
    <row r="13" customFormat="false" ht="15" hidden="false" customHeight="false" outlineLevel="0" collapsed="false">
      <c r="A13" s="0" t="s">
        <v>33</v>
      </c>
      <c r="B13" s="0" t="n">
        <f aca="false">COUNTIFS('Risk Register'!U:U,"In Progress",'Risk Register'!G:G,"&lt;&gt;")</f>
        <v>4</v>
      </c>
    </row>
    <row r="14" customFormat="false" ht="15" hidden="false" customHeight="false" outlineLevel="0" collapsed="false">
      <c r="A14" s="0" t="s">
        <v>71</v>
      </c>
      <c r="B14" s="0" t="n">
        <f aca="false">COUNTIFS('Risk Register'!U:U,"Mitigated",'Risk Register'!G:G,"&lt;&gt;")</f>
        <v>2</v>
      </c>
    </row>
    <row r="15" customFormat="false" ht="15" hidden="false" customHeight="false" outlineLevel="0" collapsed="false">
      <c r="A15" s="0" t="s">
        <v>196</v>
      </c>
      <c r="B15" s="0" t="n">
        <f aca="false">COUNTIFS('Risk Register'!U:U,"Accepted",'Risk Register'!G:G,"&lt;&gt;")</f>
        <v>0</v>
      </c>
    </row>
    <row r="16" customFormat="false" ht="15" hidden="false" customHeight="false" outlineLevel="0" collapsed="false">
      <c r="A16" s="0" t="s">
        <v>197</v>
      </c>
      <c r="B16" s="0" t="n">
        <f aca="false">COUNTIFS('Risk Register'!U:U,"Closed",'Risk Register'!G:G,"&lt;&gt;")</f>
        <v>0</v>
      </c>
    </row>
    <row r="18" customFormat="false" ht="15" hidden="false" customHeight="false" outlineLevel="0" collapsed="false">
      <c r="A18" s="5" t="s">
        <v>198</v>
      </c>
    </row>
    <row r="19" customFormat="false" ht="15" hidden="false" customHeight="false" outlineLevel="0" collapsed="false">
      <c r="A19" s="7" t="s">
        <v>3</v>
      </c>
      <c r="B19" s="7" t="s">
        <v>193</v>
      </c>
    </row>
    <row r="20" customFormat="false" ht="15" hidden="false" customHeight="false" outlineLevel="0" collapsed="false">
      <c r="A20" s="0" t="s">
        <v>25</v>
      </c>
      <c r="B20" s="0" t="n">
        <f aca="false">COUNTIFS('Risk Register'!D:D,"High",'Risk Register'!G:G,"&lt;&gt;")</f>
        <v>9</v>
      </c>
    </row>
    <row r="21" customFormat="false" ht="15" hidden="false" customHeight="false" outlineLevel="0" collapsed="false">
      <c r="A21" s="0" t="s">
        <v>26</v>
      </c>
      <c r="B21" s="0" t="n">
        <f aca="false">COUNTIFS('Risk Register'!D:D,"Medium",'Risk Register'!G:G,"&lt;&gt;")</f>
        <v>5</v>
      </c>
    </row>
    <row r="22" customFormat="false" ht="15" hidden="false" customHeight="false" outlineLevel="0" collapsed="false">
      <c r="A22" s="0" t="s">
        <v>94</v>
      </c>
      <c r="B22" s="0" t="n">
        <f aca="false">COUNTIFS('Risk Register'!D:D,"Low",'Risk Register'!G:G,"&lt;&gt;")</f>
        <v>1</v>
      </c>
    </row>
    <row r="25" customFormat="false" ht="15" hidden="false" customHeight="false" outlineLevel="0" collapsed="false">
      <c r="A25" s="5" t="s">
        <v>199</v>
      </c>
    </row>
    <row r="26" customFormat="false" ht="15" hidden="false" customHeight="false" outlineLevel="0" collapsed="false">
      <c r="A26" s="0" t="s">
        <v>193</v>
      </c>
      <c r="B26" s="0" t="n">
        <f aca="true">SUMPRODUCT(('Risk Register'!V2:V500&lt;TODAY())*('Risk Register'!V2:V500&lt;&gt;"")*('Risk Register'!U2:U500&lt;&gt;"Closed")*('Risk Register'!U2:U500&lt;&gt;"Mitigated"))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2026-07-22T18:35:37Z</dcterms:created>
  <dc:creator>openpyxl</dc:creator>
  <dc:description/>
  <dc:language>en-US</dc:language>
  <cp:lastModifiedBy/>
  <dcterms:modified xsi:type="dcterms:W3CDTF">2026-07-22T18:35:43Z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